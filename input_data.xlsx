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/>
  <mc:AlternateContent xmlns:mc="http://schemas.openxmlformats.org/markup-compatibility/2006">
    <mc:Choice Requires="x15">
      <x15ac:absPath xmlns:x15ac="http://schemas.microsoft.com/office/spreadsheetml/2010/11/ac" url="C:\Users\Cindie\Downloads\EPCATH_forsubmission\"/>
    </mc:Choice>
  </mc:AlternateContent>
  <xr:revisionPtr revIDLastSave="0" documentId="13_ncr:1_{76DEF5D3-5AD7-4C09-85DE-01AAB19DE8FD}" xr6:coauthVersionLast="45" xr6:coauthVersionMax="45" xr10:uidLastSave="{00000000-0000-0000-0000-000000000000}"/>
  <bookViews>
    <workbookView xWindow="1170" yWindow="1170" windowWidth="18000" windowHeight="9360" xr2:uid="{00000000-000D-0000-FFFF-FFFF00000000}"/>
  </bookViews>
  <sheets>
    <sheet name="Summary Table" sheetId="1" r:id="rId1"/>
    <sheet name="Assignment Tables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15" i="2" l="1"/>
  <c r="D115" i="2" s="1"/>
  <c r="D135" i="2" s="1"/>
  <c r="C114" i="2"/>
  <c r="D114" i="2" s="1"/>
  <c r="D134" i="2" s="1"/>
  <c r="C113" i="2"/>
  <c r="D113" i="2" s="1"/>
  <c r="D133" i="2" s="1"/>
  <c r="C112" i="2"/>
  <c r="D112" i="2" s="1"/>
  <c r="D132" i="2" s="1"/>
  <c r="C111" i="2"/>
  <c r="D111" i="2" s="1"/>
  <c r="D131" i="2" s="1"/>
  <c r="C110" i="2"/>
  <c r="D110" i="2" s="1"/>
  <c r="D130" i="2" s="1"/>
  <c r="C109" i="2"/>
  <c r="D109" i="2" s="1"/>
  <c r="D129" i="2" s="1"/>
  <c r="C108" i="2"/>
  <c r="D108" i="2" s="1"/>
  <c r="D128" i="2" s="1"/>
  <c r="C107" i="2"/>
  <c r="D107" i="2" s="1"/>
  <c r="D127" i="2" s="1"/>
  <c r="C106" i="2"/>
  <c r="D106" i="2" s="1"/>
  <c r="D126" i="2" s="1"/>
  <c r="C105" i="2"/>
  <c r="D105" i="2" s="1"/>
  <c r="D125" i="2" s="1"/>
  <c r="C104" i="2"/>
  <c r="D104" i="2" s="1"/>
  <c r="D124" i="2" s="1"/>
  <c r="C103" i="2"/>
  <c r="D103" i="2" s="1"/>
  <c r="D123" i="2" s="1"/>
  <c r="C102" i="2"/>
  <c r="D102" i="2" s="1"/>
  <c r="D122" i="2" s="1"/>
  <c r="G97" i="2"/>
  <c r="D97" i="2"/>
  <c r="E97" i="2" s="1"/>
  <c r="G96" i="2"/>
  <c r="D96" i="2"/>
  <c r="E96" i="2" s="1"/>
  <c r="G95" i="2"/>
  <c r="D95" i="2"/>
  <c r="E95" i="2" s="1"/>
  <c r="G94" i="2"/>
  <c r="D94" i="2"/>
  <c r="E94" i="2" s="1"/>
  <c r="G93" i="2"/>
  <c r="D93" i="2"/>
  <c r="E93" i="2" s="1"/>
  <c r="G92" i="2"/>
  <c r="D92" i="2"/>
  <c r="E92" i="2" s="1"/>
  <c r="G91" i="2"/>
  <c r="D91" i="2"/>
  <c r="E91" i="2" s="1"/>
  <c r="G90" i="2"/>
  <c r="D90" i="2"/>
  <c r="E90" i="2" s="1"/>
  <c r="G89" i="2"/>
  <c r="D89" i="2"/>
  <c r="E89" i="2" s="1"/>
  <c r="G88" i="2"/>
  <c r="D88" i="2"/>
  <c r="E88" i="2" s="1"/>
  <c r="G87" i="2"/>
  <c r="E87" i="2"/>
  <c r="D87" i="2"/>
  <c r="G86" i="2"/>
  <c r="D86" i="2"/>
  <c r="E86" i="2" s="1"/>
  <c r="G85" i="2"/>
  <c r="D85" i="2"/>
  <c r="E85" i="2" s="1"/>
  <c r="G84" i="2"/>
  <c r="D84" i="2"/>
  <c r="E84" i="2" s="1"/>
  <c r="F79" i="2"/>
  <c r="C135" i="2" s="1"/>
  <c r="D79" i="2"/>
  <c r="F78" i="2"/>
  <c r="D78" i="2"/>
  <c r="F77" i="2"/>
  <c r="C133" i="2" s="1"/>
  <c r="D77" i="2"/>
  <c r="F76" i="2"/>
  <c r="C132" i="2" s="1"/>
  <c r="D76" i="2"/>
  <c r="F75" i="2"/>
  <c r="C131" i="2" s="1"/>
  <c r="E131" i="2" s="1"/>
  <c r="D75" i="2"/>
  <c r="F74" i="2"/>
  <c r="D74" i="2"/>
  <c r="F73" i="2"/>
  <c r="C129" i="2" s="1"/>
  <c r="D73" i="2"/>
  <c r="F72" i="2"/>
  <c r="C128" i="2" s="1"/>
  <c r="D72" i="2"/>
  <c r="F71" i="2"/>
  <c r="C127" i="2" s="1"/>
  <c r="D71" i="2"/>
  <c r="F70" i="2"/>
  <c r="D70" i="2"/>
  <c r="F69" i="2"/>
  <c r="C125" i="2" s="1"/>
  <c r="D69" i="2"/>
  <c r="F68" i="2"/>
  <c r="C124" i="2" s="1"/>
  <c r="D68" i="2"/>
  <c r="F67" i="2"/>
  <c r="C123" i="2" s="1"/>
  <c r="D67" i="2"/>
  <c r="F66" i="2"/>
  <c r="D66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D42" i="2"/>
  <c r="E42" i="2" s="1"/>
  <c r="D41" i="2"/>
  <c r="E41" i="2" s="1"/>
  <c r="D40" i="2"/>
  <c r="E40" i="2" s="1"/>
  <c r="D39" i="2"/>
  <c r="E39" i="2" s="1"/>
  <c r="D38" i="2"/>
  <c r="E38" i="2" s="1"/>
  <c r="D37" i="2"/>
  <c r="E37" i="2" s="1"/>
  <c r="D36" i="2"/>
  <c r="E36" i="2" s="1"/>
  <c r="D35" i="2"/>
  <c r="E35" i="2" s="1"/>
  <c r="D34" i="2"/>
  <c r="E34" i="2" s="1"/>
  <c r="D33" i="2"/>
  <c r="E33" i="2" s="1"/>
  <c r="D32" i="2"/>
  <c r="E32" i="2" s="1"/>
  <c r="E28" i="2"/>
  <c r="I42" i="2" s="1"/>
  <c r="E27" i="2"/>
  <c r="E26" i="2"/>
  <c r="E25" i="2"/>
  <c r="E24" i="2"/>
  <c r="I38" i="2" s="1"/>
  <c r="E23" i="2"/>
  <c r="E22" i="2"/>
  <c r="E21" i="2"/>
  <c r="E20" i="2"/>
  <c r="I34" i="2" s="1"/>
  <c r="E19" i="2"/>
  <c r="E18" i="2"/>
  <c r="F14" i="2"/>
  <c r="F13" i="2"/>
  <c r="F12" i="2"/>
  <c r="F11" i="2"/>
  <c r="F10" i="2"/>
  <c r="F9" i="2"/>
  <c r="F8" i="2"/>
  <c r="F7" i="2"/>
  <c r="F6" i="2"/>
  <c r="F5" i="2"/>
  <c r="F4" i="2"/>
  <c r="C14" i="1"/>
  <c r="E132" i="2" l="1"/>
  <c r="E125" i="2"/>
  <c r="C130" i="2"/>
  <c r="E130" i="2" s="1"/>
  <c r="C134" i="2"/>
  <c r="E134" i="2" s="1"/>
  <c r="C122" i="2"/>
  <c r="E122" i="2" s="1"/>
  <c r="C126" i="2"/>
  <c r="I35" i="2"/>
  <c r="I39" i="2"/>
  <c r="E127" i="2"/>
  <c r="I32" i="2"/>
  <c r="E123" i="2"/>
  <c r="E128" i="2"/>
  <c r="E133" i="2"/>
  <c r="I36" i="2"/>
  <c r="I40" i="2"/>
  <c r="I33" i="2"/>
  <c r="J33" i="2" s="1"/>
  <c r="I37" i="2"/>
  <c r="I41" i="2"/>
  <c r="E126" i="2"/>
  <c r="E124" i="2"/>
  <c r="E129" i="2"/>
  <c r="E135" i="2"/>
  <c r="J34" i="2" l="1"/>
  <c r="J37" i="2"/>
  <c r="F131" i="2"/>
  <c r="F129" i="2"/>
  <c r="F132" i="2"/>
  <c r="J39" i="2"/>
  <c r="F124" i="2"/>
  <c r="F133" i="2"/>
  <c r="J35" i="2"/>
  <c r="F126" i="2"/>
  <c r="J40" i="2"/>
  <c r="F128" i="2"/>
  <c r="F127" i="2"/>
  <c r="F122" i="2"/>
  <c r="F125" i="2"/>
  <c r="J32" i="2"/>
  <c r="J42" i="2"/>
  <c r="F135" i="2"/>
  <c r="J41" i="2"/>
  <c r="J36" i="2"/>
  <c r="F123" i="2"/>
  <c r="F134" i="2"/>
  <c r="J38" i="2"/>
  <c r="F130" i="2"/>
</calcChain>
</file>

<file path=xl/sharedStrings.xml><?xml version="1.0" encoding="utf-8"?>
<sst xmlns="http://schemas.openxmlformats.org/spreadsheetml/2006/main" count="143" uniqueCount="94">
  <si>
    <t>Overcapacity Instances (5-minute patient blocks)</t>
  </si>
  <si>
    <t>Decision Variables &amp; Performance Metrics</t>
  </si>
  <si>
    <t># HB</t>
  </si>
  <si>
    <t>Current</t>
  </si>
  <si>
    <t xml:space="preserve"># Instances </t>
  </si>
  <si>
    <t># Days with 1+ Instances</t>
  </si>
  <si>
    <t>Recommendation</t>
  </si>
  <si>
    <t>Calculation Notes</t>
  </si>
  <si>
    <t># Holding Bays</t>
  </si>
  <si>
    <t>Average # Instances per day</t>
  </si>
  <si>
    <t>% Days with 1+ Instances</t>
  </si>
  <si>
    <t>n/a</t>
  </si>
  <si>
    <t>HB Closing Time</t>
  </si>
  <si>
    <t>midnight</t>
  </si>
  <si>
    <t>Scheduling Policy</t>
  </si>
  <si>
    <t>historical</t>
  </si>
  <si>
    <t>Staffing required (hours)</t>
  </si>
  <si>
    <t>HB Closing Time - HB Opening Time</t>
  </si>
  <si>
    <t>Procedure room utilization</t>
  </si>
  <si>
    <t>Cath: 58.5%, EP: 41.4%</t>
  </si>
  <si>
    <t>from DES Output</t>
  </si>
  <si>
    <t>Holding bay utilization</t>
  </si>
  <si>
    <t>Average occupancy / Total # Holding bays</t>
  </si>
  <si>
    <t>Avoidable inpatient days</t>
  </si>
  <si>
    <t>Cancellation Costs</t>
  </si>
  <si>
    <t>EOD occupancy</t>
  </si>
  <si>
    <t>Procedural volume (average)</t>
  </si>
  <si>
    <t>Delay (# 60-min blocks)</t>
  </si>
  <si>
    <t>$ Cancellation Costs</t>
  </si>
  <si>
    <t># daily patients - EOD occupancy</t>
  </si>
  <si>
    <t>Number of declined cases</t>
  </si>
  <si>
    <t>if util low enough, can assume not turning anyone away</t>
  </si>
  <si>
    <t>Wait time</t>
  </si>
  <si>
    <t>proxy: # instances where HB is over capacity</t>
  </si>
  <si>
    <t>Staff satisfaction</t>
  </si>
  <si>
    <t>low</t>
  </si>
  <si>
    <t>proxy: available space for staff, administration, etc.</t>
  </si>
  <si>
    <t>Number of cancellations</t>
  </si>
  <si>
    <t>out of scope</t>
  </si>
  <si>
    <t>Empty Holding Bay Instances (5-minute room-blocks) during Peak Hours (10am-3pm)</t>
  </si>
  <si>
    <t>Total Costs</t>
  </si>
  <si>
    <t># Empty HB Instances during Peak</t>
  </si>
  <si>
    <t>Average Daily 60-min Empty Holding Bay room-blocks</t>
  </si>
  <si>
    <t>$ Empty Holding Bay Costs</t>
  </si>
  <si>
    <t>Rank</t>
  </si>
  <si>
    <t>Occupancy at Close Time (historical scheduling policy)</t>
  </si>
  <si>
    <t>Close Time</t>
  </si>
  <si>
    <t>Average</t>
  </si>
  <si>
    <t>Variance</t>
  </si>
  <si>
    <t>% Difference</t>
  </si>
  <si>
    <t>-</t>
  </si>
  <si>
    <t>24:00</t>
  </si>
  <si>
    <t>Staff Cost for Base Staff (covers average # of patients)</t>
  </si>
  <si>
    <t>Incr time (hr)</t>
  </si>
  <si>
    <t>Base # Staff</t>
  </si>
  <si>
    <t>Base # Staff (whole)</t>
  </si>
  <si>
    <t>Staff Cost</t>
  </si>
  <si>
    <t>Staff Cost for Overtime (95% coverage)</t>
  </si>
  <si>
    <t>Addl Patients</t>
  </si>
  <si>
    <t># OT Staff</t>
  </si>
  <si>
    <t># OT Staff (whole)</t>
  </si>
  <si>
    <t>OT Staff Cost</t>
  </si>
  <si>
    <t>Cost to admit patients (95% coverage)</t>
  </si>
  <si>
    <t>Admitted Patients (95% coverage)</t>
  </si>
  <si>
    <t>Admission Costs</t>
  </si>
  <si>
    <t>Total Estimated Labor Costs</t>
  </si>
  <si>
    <t>Total Admissions Costs</t>
  </si>
  <si>
    <t>Occupancy by Scheduling Policy</t>
  </si>
  <si>
    <t>Peak of average occupancy</t>
  </si>
  <si>
    <t>Average occupancy at end of day</t>
  </si>
  <si>
    <t>Total procedures scheduled past closing time</t>
  </si>
  <si>
    <t>Historical</t>
  </si>
  <si>
    <t>9.7 bays (@12:40pm)</t>
  </si>
  <si>
    <t>3.2 @8pm</t>
  </si>
  <si>
    <t>Longest procedure time first</t>
  </si>
  <si>
    <t>8.3 bays
(@12:55pm)</t>
  </si>
  <si>
    <t>3.9 @8pm</t>
  </si>
  <si>
    <t>Shortest procedure time first</t>
  </si>
  <si>
    <t>8.3 bays
(@12:45pm)</t>
  </si>
  <si>
    <t>3.0 @8pm</t>
  </si>
  <si>
    <t>Longest recovery time first</t>
  </si>
  <si>
    <t>10.4 bays
(@12:55pm)</t>
  </si>
  <si>
    <t>1.8 @8pm</t>
  </si>
  <si>
    <t>Shortest recovery time first</t>
  </si>
  <si>
    <t>7.0 bays
(@12:45pm)</t>
  </si>
  <si>
    <t>4.6 @8pm</t>
  </si>
  <si>
    <t>Procedures Scheduled and Lab Utilization by Scheduling Policy</t>
  </si>
  <si>
    <t>Total procedures placed</t>
  </si>
  <si>
    <t>Average CATH Lab utilization</t>
  </si>
  <si>
    <t>Average EP Lab utilization</t>
  </si>
  <si>
    <t>Last Updated: 2/27/2020</t>
  </si>
  <si>
    <t>Adapted from: “EP CATH Case Study Overview.pdf” and “Joint Electrophysiology and Cardiac Catheterization Labs.pdf”</t>
  </si>
  <si>
    <t>Authors: Cindie Wu Gaspar, Dr. David Scheinker, Dr. Kevin Schulman</t>
  </si>
  <si>
    <t>EP/CATH Join Lab Case Study - Assignment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</si>
</sst>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"/>
    <numFmt numFmtId="166" formatCode="&quot;$&quot;#,##0"/>
    <numFmt numFmtId="167" formatCode="0.000"/>
    <numFmt numFmtId="168" formatCode="0.0000%"/>
  </numFmts>
  <fonts count="6" x14ac:knownFonts="1">
    <font>
      <sz val="10"/>
      <color rgb="FF000000"/>
      <name val="Arial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 applyFont="1" applyAlignment="1"/>
    <xf numFmtId="0" fontId="1" fillId="0" borderId="0" xfId="0" applyFont="1" applyAlignment="1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2" fillId="0" borderId="3" xfId="0" applyFont="1" applyBorder="1" applyAlignment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/>
    <xf numFmtId="9" fontId="2" fillId="0" borderId="2" xfId="0" applyNumberFormat="1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164" fontId="2" fillId="0" borderId="2" xfId="0" applyNumberFormat="1" applyFont="1" applyBorder="1" applyAlignment="1">
      <alignment horizontal="center"/>
    </xf>
    <xf numFmtId="165" fontId="2" fillId="0" borderId="0" xfId="0" applyNumberFormat="1" applyFont="1"/>
    <xf numFmtId="166" fontId="2" fillId="3" borderId="0" xfId="0" applyNumberFormat="1" applyFont="1" applyFill="1" applyAlignment="1"/>
    <xf numFmtId="0" fontId="2" fillId="0" borderId="0" xfId="0" applyFont="1" applyAlignment="1"/>
    <xf numFmtId="165" fontId="2" fillId="0" borderId="2" xfId="0" applyNumberFormat="1" applyFont="1" applyBorder="1" applyAlignment="1">
      <alignment horizontal="center"/>
    </xf>
    <xf numFmtId="167" fontId="2" fillId="0" borderId="2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10" fontId="2" fillId="0" borderId="0" xfId="0" applyNumberFormat="1" applyFont="1"/>
    <xf numFmtId="168" fontId="2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2" xfId="0" applyFont="1" applyBorder="1" applyAlignment="1"/>
    <xf numFmtId="20" fontId="2" fillId="0" borderId="2" xfId="0" applyNumberFormat="1" applyFont="1" applyBorder="1" applyAlignment="1"/>
    <xf numFmtId="2" fontId="2" fillId="0" borderId="2" xfId="0" applyNumberFormat="1" applyFont="1" applyBorder="1" applyAlignment="1"/>
    <xf numFmtId="20" fontId="2" fillId="0" borderId="0" xfId="0" applyNumberFormat="1" applyFont="1" applyAlignment="1"/>
    <xf numFmtId="10" fontId="2" fillId="0" borderId="2" xfId="0" applyNumberFormat="1" applyFont="1" applyBorder="1"/>
    <xf numFmtId="0" fontId="2" fillId="0" borderId="2" xfId="0" quotePrefix="1" applyFont="1" applyBorder="1" applyAlignment="1">
      <alignment horizontal="right"/>
    </xf>
    <xf numFmtId="0" fontId="2" fillId="3" borderId="0" xfId="0" applyFont="1" applyFill="1" applyAlignment="1"/>
    <xf numFmtId="0" fontId="1" fillId="0" borderId="0" xfId="0" applyFont="1" applyAlignment="1">
      <alignment wrapText="1"/>
    </xf>
    <xf numFmtId="0" fontId="1" fillId="0" borderId="2" xfId="0" applyFont="1" applyBorder="1" applyAlignment="1">
      <alignment wrapText="1"/>
    </xf>
    <xf numFmtId="2" fontId="2" fillId="0" borderId="2" xfId="0" applyNumberFormat="1" applyFont="1" applyBorder="1"/>
    <xf numFmtId="1" fontId="2" fillId="0" borderId="2" xfId="0" applyNumberFormat="1" applyFont="1" applyBorder="1"/>
    <xf numFmtId="166" fontId="2" fillId="0" borderId="2" xfId="0" applyNumberFormat="1" applyFont="1" applyBorder="1" applyAlignment="1"/>
    <xf numFmtId="0" fontId="2" fillId="0" borderId="2" xfId="0" applyFont="1" applyBorder="1"/>
    <xf numFmtId="166" fontId="2" fillId="0" borderId="2" xfId="0" applyNumberFormat="1" applyFont="1" applyBorder="1"/>
    <xf numFmtId="166" fontId="3" fillId="0" borderId="0" xfId="0" applyNumberFormat="1" applyFont="1" applyAlignment="1"/>
    <xf numFmtId="0" fontId="2" fillId="0" borderId="0" xfId="0" applyFont="1"/>
    <xf numFmtId="0" fontId="4" fillId="0" borderId="0" xfId="0" applyFont="1" applyAlignment="1"/>
    <xf numFmtId="0" fontId="5" fillId="0" borderId="0" xfId="0" applyFont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4" borderId="2" xfId="0" applyFont="1" applyFill="1" applyBorder="1" applyAlignment="1">
      <alignment horizontal="left" wrapText="1"/>
    </xf>
    <xf numFmtId="10" fontId="4" fillId="0" borderId="2" xfId="0" applyNumberFormat="1" applyFont="1" applyBorder="1" applyAlignment="1">
      <alignment horizontal="left" wrapText="1"/>
    </xf>
    <xf numFmtId="10" fontId="4" fillId="4" borderId="2" xfId="0" applyNumberFormat="1" applyFont="1" applyFill="1" applyBorder="1" applyAlignment="1">
      <alignment horizontal="left" wrapText="1"/>
    </xf>
    <xf numFmtId="0" fontId="4" fillId="0" borderId="0" xfId="0" applyFont="1" applyAlignment="1">
      <alignment vertical="center"/>
    </xf>
    <xf numFmtId="0" fontId="5" fillId="0" borderId="0" xfId="0" applyFont="1" applyAlignment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95"/>
  <sheetViews>
    <sheetView showGridLines="0" tabSelected="1" workbookViewId="0">
      <selection activeCell="A2" sqref="A2"/>
    </sheetView>
  </sheetViews>
  <sheetFormatPr defaultColWidth="14.42578125" defaultRowHeight="15.75" customHeight="1" x14ac:dyDescent="0.2"/>
  <cols>
    <col min="1" max="1" width="5.42578125" customWidth="1"/>
    <col min="2" max="2" width="34.85546875" customWidth="1"/>
    <col min="3" max="3" width="24.140625" customWidth="1"/>
    <col min="4" max="4" width="16.7109375" customWidth="1"/>
    <col min="5" max="5" width="46.7109375" customWidth="1"/>
  </cols>
  <sheetData>
    <row r="1" spans="1:5" ht="15.75" customHeight="1" x14ac:dyDescent="0.2">
      <c r="A1" s="59" t="s">
        <v>93</v>
      </c>
    </row>
    <row r="2" spans="1:5" ht="15.75" customHeight="1" x14ac:dyDescent="0.2">
      <c r="A2" s="58" t="s">
        <v>91</v>
      </c>
    </row>
    <row r="3" spans="1:5" ht="15.75" customHeight="1" x14ac:dyDescent="0.2">
      <c r="A3" s="58" t="s">
        <v>92</v>
      </c>
    </row>
    <row r="4" spans="1:5" ht="15.75" customHeight="1" x14ac:dyDescent="0.2">
      <c r="A4" s="50" t="s">
        <v>90</v>
      </c>
    </row>
    <row r="6" spans="1:5" x14ac:dyDescent="0.2">
      <c r="B6" s="2" t="s">
        <v>1</v>
      </c>
      <c r="C6" s="4" t="s">
        <v>3</v>
      </c>
      <c r="D6" s="4" t="s">
        <v>6</v>
      </c>
      <c r="E6" s="4" t="s">
        <v>7</v>
      </c>
    </row>
    <row r="7" spans="1:5" x14ac:dyDescent="0.2">
      <c r="B7" s="6" t="s">
        <v>8</v>
      </c>
      <c r="C7" s="8">
        <v>21</v>
      </c>
      <c r="D7" s="9"/>
      <c r="E7" s="10" t="s">
        <v>11</v>
      </c>
    </row>
    <row r="8" spans="1:5" x14ac:dyDescent="0.2">
      <c r="B8" s="11" t="s">
        <v>12</v>
      </c>
      <c r="C8" s="7" t="s">
        <v>13</v>
      </c>
      <c r="D8" s="13"/>
      <c r="E8" s="14" t="s">
        <v>11</v>
      </c>
    </row>
    <row r="9" spans="1:5" x14ac:dyDescent="0.2">
      <c r="B9" s="15" t="s">
        <v>14</v>
      </c>
      <c r="C9" s="16" t="s">
        <v>15</v>
      </c>
      <c r="D9" s="17"/>
      <c r="E9" s="18" t="s">
        <v>11</v>
      </c>
    </row>
    <row r="10" spans="1:5" x14ac:dyDescent="0.2">
      <c r="B10" s="6" t="s">
        <v>16</v>
      </c>
      <c r="C10" s="8">
        <v>24</v>
      </c>
      <c r="D10" s="9"/>
      <c r="E10" s="10" t="s">
        <v>17</v>
      </c>
    </row>
    <row r="11" spans="1:5" x14ac:dyDescent="0.2">
      <c r="B11" s="11" t="s">
        <v>18</v>
      </c>
      <c r="C11" s="7" t="s">
        <v>19</v>
      </c>
      <c r="D11" s="13"/>
      <c r="E11" s="14" t="s">
        <v>20</v>
      </c>
    </row>
    <row r="12" spans="1:5" x14ac:dyDescent="0.2">
      <c r="B12" s="11" t="s">
        <v>21</v>
      </c>
      <c r="C12" s="19">
        <v>0.191</v>
      </c>
      <c r="D12" s="13"/>
      <c r="E12" s="14" t="s">
        <v>22</v>
      </c>
    </row>
    <row r="13" spans="1:5" x14ac:dyDescent="0.2">
      <c r="B13" s="11" t="s">
        <v>23</v>
      </c>
      <c r="C13" s="7">
        <v>5.8</v>
      </c>
      <c r="D13" s="13"/>
      <c r="E13" s="14" t="s">
        <v>25</v>
      </c>
    </row>
    <row r="14" spans="1:5" x14ac:dyDescent="0.2">
      <c r="B14" s="11" t="s">
        <v>26</v>
      </c>
      <c r="C14" s="23">
        <f>7402/260-5.8</f>
        <v>22.669230769230769</v>
      </c>
      <c r="D14" s="13"/>
      <c r="E14" s="14" t="s">
        <v>29</v>
      </c>
    </row>
    <row r="15" spans="1:5" x14ac:dyDescent="0.2">
      <c r="B15" s="11" t="s">
        <v>30</v>
      </c>
      <c r="C15" s="7" t="s">
        <v>11</v>
      </c>
      <c r="D15" s="13"/>
      <c r="E15" s="14" t="s">
        <v>31</v>
      </c>
    </row>
    <row r="16" spans="1:5" x14ac:dyDescent="0.2">
      <c r="B16" s="11" t="s">
        <v>32</v>
      </c>
      <c r="C16" s="7">
        <v>0</v>
      </c>
      <c r="D16" s="13"/>
      <c r="E16" s="14" t="s">
        <v>33</v>
      </c>
    </row>
    <row r="17" spans="2:5" x14ac:dyDescent="0.2">
      <c r="B17" s="11" t="s">
        <v>34</v>
      </c>
      <c r="C17" s="7" t="s">
        <v>35</v>
      </c>
      <c r="D17" s="13"/>
      <c r="E17" s="14" t="s">
        <v>36</v>
      </c>
    </row>
    <row r="18" spans="2:5" x14ac:dyDescent="0.2">
      <c r="B18" s="11" t="s">
        <v>37</v>
      </c>
      <c r="C18" s="7" t="s">
        <v>11</v>
      </c>
      <c r="D18" s="13"/>
      <c r="E18" s="14" t="s">
        <v>38</v>
      </c>
    </row>
    <row r="19" spans="2:5" x14ac:dyDescent="0.2">
      <c r="C19" s="26"/>
      <c r="D19" s="26"/>
    </row>
    <row r="20" spans="2:5" x14ac:dyDescent="0.2">
      <c r="C20" s="26"/>
      <c r="D20" s="26"/>
    </row>
    <row r="21" spans="2:5" x14ac:dyDescent="0.2">
      <c r="C21" s="26"/>
      <c r="D21" s="26"/>
    </row>
    <row r="22" spans="2:5" x14ac:dyDescent="0.2">
      <c r="C22" s="26"/>
      <c r="D22" s="26"/>
    </row>
    <row r="23" spans="2:5" x14ac:dyDescent="0.2">
      <c r="C23" s="26"/>
      <c r="D23" s="26"/>
    </row>
    <row r="24" spans="2:5" x14ac:dyDescent="0.2">
      <c r="C24" s="26"/>
      <c r="D24" s="26"/>
    </row>
    <row r="25" spans="2:5" x14ac:dyDescent="0.2">
      <c r="D25" s="26"/>
    </row>
    <row r="26" spans="2:5" x14ac:dyDescent="0.2">
      <c r="C26" s="26"/>
      <c r="D26" s="26"/>
    </row>
    <row r="27" spans="2:5" x14ac:dyDescent="0.2">
      <c r="C27" s="26"/>
      <c r="D27" s="26"/>
    </row>
    <row r="28" spans="2:5" x14ac:dyDescent="0.2">
      <c r="C28" s="26"/>
      <c r="D28" s="26"/>
    </row>
    <row r="29" spans="2:5" x14ac:dyDescent="0.2">
      <c r="C29" s="26"/>
      <c r="D29" s="26"/>
    </row>
    <row r="30" spans="2:5" x14ac:dyDescent="0.2">
      <c r="C30" s="27"/>
      <c r="D30" s="28"/>
      <c r="E30" s="29"/>
    </row>
    <row r="31" spans="2:5" x14ac:dyDescent="0.2">
      <c r="C31" s="27"/>
      <c r="D31" s="26"/>
    </row>
    <row r="32" spans="2:5" x14ac:dyDescent="0.2">
      <c r="C32" s="27"/>
      <c r="D32" s="26"/>
      <c r="E32" s="26"/>
    </row>
    <row r="33" spans="3:5" x14ac:dyDescent="0.2">
      <c r="C33" s="27"/>
      <c r="D33" s="28"/>
      <c r="E33" s="28"/>
    </row>
    <row r="34" spans="3:5" x14ac:dyDescent="0.2">
      <c r="C34" s="27"/>
      <c r="D34" s="30"/>
      <c r="E34" s="31"/>
    </row>
    <row r="35" spans="3:5" x14ac:dyDescent="0.2">
      <c r="C35" s="26"/>
      <c r="D35" s="26"/>
    </row>
    <row r="36" spans="3:5" x14ac:dyDescent="0.2">
      <c r="C36" s="26"/>
      <c r="D36" s="26"/>
    </row>
    <row r="37" spans="3:5" x14ac:dyDescent="0.2">
      <c r="C37" s="26"/>
      <c r="D37" s="26"/>
    </row>
    <row r="38" spans="3:5" x14ac:dyDescent="0.2">
      <c r="C38" s="26"/>
      <c r="D38" s="26"/>
    </row>
    <row r="39" spans="3:5" x14ac:dyDescent="0.2">
      <c r="C39" s="26"/>
      <c r="D39" s="26"/>
    </row>
    <row r="40" spans="3:5" x14ac:dyDescent="0.2">
      <c r="C40" s="26"/>
      <c r="D40" s="26"/>
    </row>
    <row r="41" spans="3:5" x14ac:dyDescent="0.2">
      <c r="C41" s="26"/>
      <c r="D41" s="26"/>
    </row>
    <row r="42" spans="3:5" x14ac:dyDescent="0.2">
      <c r="C42" s="26"/>
      <c r="D42" s="26"/>
    </row>
    <row r="43" spans="3:5" x14ac:dyDescent="0.2">
      <c r="C43" s="26"/>
      <c r="D43" s="26"/>
    </row>
    <row r="44" spans="3:5" x14ac:dyDescent="0.2">
      <c r="C44" s="26"/>
      <c r="D44" s="26"/>
    </row>
    <row r="45" spans="3:5" x14ac:dyDescent="0.2">
      <c r="C45" s="26"/>
      <c r="D45" s="26"/>
    </row>
    <row r="46" spans="3:5" x14ac:dyDescent="0.2">
      <c r="C46" s="26"/>
      <c r="D46" s="26"/>
    </row>
    <row r="47" spans="3:5" x14ac:dyDescent="0.2">
      <c r="C47" s="26"/>
      <c r="D47" s="26"/>
    </row>
    <row r="48" spans="3:5" x14ac:dyDescent="0.2">
      <c r="C48" s="26"/>
      <c r="D48" s="26"/>
    </row>
    <row r="49" spans="3:4" x14ac:dyDescent="0.2">
      <c r="C49" s="26"/>
      <c r="D49" s="26"/>
    </row>
    <row r="50" spans="3:4" x14ac:dyDescent="0.2">
      <c r="C50" s="26"/>
      <c r="D50" s="26"/>
    </row>
    <row r="51" spans="3:4" x14ac:dyDescent="0.2">
      <c r="C51" s="26"/>
      <c r="D51" s="26"/>
    </row>
    <row r="52" spans="3:4" x14ac:dyDescent="0.2">
      <c r="C52" s="26"/>
      <c r="D52" s="26"/>
    </row>
    <row r="53" spans="3:4" x14ac:dyDescent="0.2">
      <c r="C53" s="26"/>
      <c r="D53" s="26"/>
    </row>
    <row r="54" spans="3:4" x14ac:dyDescent="0.2">
      <c r="C54" s="26"/>
      <c r="D54" s="26"/>
    </row>
    <row r="55" spans="3:4" x14ac:dyDescent="0.2">
      <c r="C55" s="26"/>
      <c r="D55" s="26"/>
    </row>
    <row r="56" spans="3:4" x14ac:dyDescent="0.2">
      <c r="C56" s="26"/>
      <c r="D56" s="26"/>
    </row>
    <row r="57" spans="3:4" x14ac:dyDescent="0.2">
      <c r="C57" s="26"/>
      <c r="D57" s="26"/>
    </row>
    <row r="58" spans="3:4" x14ac:dyDescent="0.2">
      <c r="C58" s="26"/>
      <c r="D58" s="26"/>
    </row>
    <row r="59" spans="3:4" x14ac:dyDescent="0.2">
      <c r="C59" s="26"/>
      <c r="D59" s="26"/>
    </row>
    <row r="60" spans="3:4" x14ac:dyDescent="0.2">
      <c r="C60" s="26"/>
      <c r="D60" s="26"/>
    </row>
    <row r="61" spans="3:4" x14ac:dyDescent="0.2">
      <c r="C61" s="26"/>
      <c r="D61" s="26"/>
    </row>
    <row r="62" spans="3:4" x14ac:dyDescent="0.2">
      <c r="C62" s="26"/>
      <c r="D62" s="26"/>
    </row>
    <row r="63" spans="3:4" x14ac:dyDescent="0.2">
      <c r="C63" s="26"/>
      <c r="D63" s="26"/>
    </row>
    <row r="64" spans="3:4" x14ac:dyDescent="0.2">
      <c r="C64" s="26"/>
      <c r="D64" s="26"/>
    </row>
    <row r="65" spans="3:4" x14ac:dyDescent="0.2">
      <c r="C65" s="26"/>
      <c r="D65" s="26"/>
    </row>
    <row r="66" spans="3:4" x14ac:dyDescent="0.2">
      <c r="C66" s="26"/>
      <c r="D66" s="26"/>
    </row>
    <row r="67" spans="3:4" x14ac:dyDescent="0.2">
      <c r="C67" s="26"/>
      <c r="D67" s="26"/>
    </row>
    <row r="68" spans="3:4" x14ac:dyDescent="0.2">
      <c r="C68" s="26"/>
      <c r="D68" s="26"/>
    </row>
    <row r="69" spans="3:4" x14ac:dyDescent="0.2">
      <c r="C69" s="26"/>
      <c r="D69" s="26"/>
    </row>
    <row r="70" spans="3:4" x14ac:dyDescent="0.2">
      <c r="C70" s="26"/>
      <c r="D70" s="26"/>
    </row>
    <row r="71" spans="3:4" x14ac:dyDescent="0.2">
      <c r="C71" s="26"/>
      <c r="D71" s="26"/>
    </row>
    <row r="72" spans="3:4" x14ac:dyDescent="0.2">
      <c r="C72" s="26"/>
      <c r="D72" s="26"/>
    </row>
    <row r="73" spans="3:4" x14ac:dyDescent="0.2">
      <c r="C73" s="26"/>
      <c r="D73" s="26"/>
    </row>
    <row r="74" spans="3:4" x14ac:dyDescent="0.2">
      <c r="C74" s="26"/>
      <c r="D74" s="26"/>
    </row>
    <row r="75" spans="3:4" x14ac:dyDescent="0.2">
      <c r="C75" s="26"/>
      <c r="D75" s="26"/>
    </row>
    <row r="76" spans="3:4" x14ac:dyDescent="0.2">
      <c r="C76" s="26"/>
      <c r="D76" s="26"/>
    </row>
    <row r="77" spans="3:4" x14ac:dyDescent="0.2">
      <c r="C77" s="26"/>
      <c r="D77" s="26"/>
    </row>
    <row r="78" spans="3:4" x14ac:dyDescent="0.2">
      <c r="C78" s="26"/>
      <c r="D78" s="26"/>
    </row>
    <row r="79" spans="3:4" x14ac:dyDescent="0.2">
      <c r="C79" s="26"/>
      <c r="D79" s="26"/>
    </row>
    <row r="80" spans="3:4" x14ac:dyDescent="0.2">
      <c r="C80" s="26"/>
      <c r="D80" s="26"/>
    </row>
    <row r="81" spans="3:4" x14ac:dyDescent="0.2">
      <c r="C81" s="26"/>
      <c r="D81" s="26"/>
    </row>
    <row r="82" spans="3:4" x14ac:dyDescent="0.2">
      <c r="C82" s="26"/>
      <c r="D82" s="26"/>
    </row>
    <row r="83" spans="3:4" x14ac:dyDescent="0.2">
      <c r="C83" s="26"/>
      <c r="D83" s="26"/>
    </row>
    <row r="84" spans="3:4" x14ac:dyDescent="0.2">
      <c r="C84" s="26"/>
      <c r="D84" s="26"/>
    </row>
    <row r="85" spans="3:4" x14ac:dyDescent="0.2">
      <c r="C85" s="26"/>
      <c r="D85" s="26"/>
    </row>
    <row r="86" spans="3:4" x14ac:dyDescent="0.2">
      <c r="C86" s="26"/>
      <c r="D86" s="26"/>
    </row>
    <row r="87" spans="3:4" x14ac:dyDescent="0.2">
      <c r="C87" s="26"/>
      <c r="D87" s="26"/>
    </row>
    <row r="88" spans="3:4" x14ac:dyDescent="0.2">
      <c r="C88" s="26"/>
      <c r="D88" s="26"/>
    </row>
    <row r="89" spans="3:4" x14ac:dyDescent="0.2">
      <c r="C89" s="26"/>
      <c r="D89" s="26"/>
    </row>
    <row r="90" spans="3:4" x14ac:dyDescent="0.2">
      <c r="C90" s="26"/>
      <c r="D90" s="26"/>
    </row>
    <row r="91" spans="3:4" x14ac:dyDescent="0.2">
      <c r="C91" s="26"/>
      <c r="D91" s="26"/>
    </row>
    <row r="92" spans="3:4" x14ac:dyDescent="0.2">
      <c r="C92" s="26"/>
      <c r="D92" s="26"/>
    </row>
    <row r="93" spans="3:4" x14ac:dyDescent="0.2">
      <c r="C93" s="26"/>
      <c r="D93" s="26"/>
    </row>
    <row r="94" spans="3:4" x14ac:dyDescent="0.2">
      <c r="C94" s="26"/>
      <c r="D94" s="26"/>
    </row>
    <row r="95" spans="3:4" x14ac:dyDescent="0.2">
      <c r="C95" s="26"/>
      <c r="D95" s="26"/>
    </row>
    <row r="96" spans="3:4" x14ac:dyDescent="0.2">
      <c r="C96" s="26"/>
      <c r="D96" s="26"/>
    </row>
    <row r="97" spans="3:4" x14ac:dyDescent="0.2">
      <c r="C97" s="26"/>
      <c r="D97" s="26"/>
    </row>
    <row r="98" spans="3:4" x14ac:dyDescent="0.2">
      <c r="C98" s="26"/>
      <c r="D98" s="26"/>
    </row>
    <row r="99" spans="3:4" x14ac:dyDescent="0.2">
      <c r="C99" s="26"/>
      <c r="D99" s="26"/>
    </row>
    <row r="100" spans="3:4" x14ac:dyDescent="0.2">
      <c r="C100" s="26"/>
      <c r="D100" s="26"/>
    </row>
    <row r="101" spans="3:4" x14ac:dyDescent="0.2">
      <c r="C101" s="26"/>
      <c r="D101" s="26"/>
    </row>
    <row r="102" spans="3:4" x14ac:dyDescent="0.2">
      <c r="C102" s="26"/>
      <c r="D102" s="26"/>
    </row>
    <row r="103" spans="3:4" x14ac:dyDescent="0.2">
      <c r="C103" s="26"/>
      <c r="D103" s="26"/>
    </row>
    <row r="104" spans="3:4" x14ac:dyDescent="0.2">
      <c r="C104" s="26"/>
      <c r="D104" s="26"/>
    </row>
    <row r="105" spans="3:4" x14ac:dyDescent="0.2">
      <c r="C105" s="26"/>
      <c r="D105" s="26"/>
    </row>
    <row r="106" spans="3:4" x14ac:dyDescent="0.2">
      <c r="C106" s="26"/>
      <c r="D106" s="26"/>
    </row>
    <row r="107" spans="3:4" x14ac:dyDescent="0.2">
      <c r="C107" s="26"/>
      <c r="D107" s="26"/>
    </row>
    <row r="108" spans="3:4" x14ac:dyDescent="0.2">
      <c r="C108" s="26"/>
      <c r="D108" s="26"/>
    </row>
    <row r="109" spans="3:4" x14ac:dyDescent="0.2">
      <c r="C109" s="26"/>
      <c r="D109" s="26"/>
    </row>
    <row r="110" spans="3:4" x14ac:dyDescent="0.2">
      <c r="C110" s="26"/>
      <c r="D110" s="26"/>
    </row>
    <row r="111" spans="3:4" x14ac:dyDescent="0.2">
      <c r="C111" s="26"/>
      <c r="D111" s="26"/>
    </row>
    <row r="112" spans="3:4" x14ac:dyDescent="0.2">
      <c r="C112" s="26"/>
      <c r="D112" s="26"/>
    </row>
    <row r="113" spans="3:4" x14ac:dyDescent="0.2">
      <c r="C113" s="26"/>
      <c r="D113" s="26"/>
    </row>
    <row r="114" spans="3:4" x14ac:dyDescent="0.2">
      <c r="C114" s="26"/>
      <c r="D114" s="26"/>
    </row>
    <row r="115" spans="3:4" x14ac:dyDescent="0.2">
      <c r="C115" s="26"/>
      <c r="D115" s="26"/>
    </row>
    <row r="116" spans="3:4" x14ac:dyDescent="0.2">
      <c r="C116" s="26"/>
      <c r="D116" s="26"/>
    </row>
    <row r="117" spans="3:4" x14ac:dyDescent="0.2">
      <c r="C117" s="26"/>
      <c r="D117" s="26"/>
    </row>
    <row r="118" spans="3:4" x14ac:dyDescent="0.2">
      <c r="C118" s="26"/>
      <c r="D118" s="26"/>
    </row>
    <row r="119" spans="3:4" x14ac:dyDescent="0.2">
      <c r="C119" s="26"/>
      <c r="D119" s="26"/>
    </row>
    <row r="120" spans="3:4" x14ac:dyDescent="0.2">
      <c r="C120" s="26"/>
      <c r="D120" s="26"/>
    </row>
    <row r="121" spans="3:4" x14ac:dyDescent="0.2">
      <c r="C121" s="26"/>
      <c r="D121" s="26"/>
    </row>
    <row r="122" spans="3:4" x14ac:dyDescent="0.2">
      <c r="C122" s="26"/>
      <c r="D122" s="26"/>
    </row>
    <row r="123" spans="3:4" x14ac:dyDescent="0.2">
      <c r="C123" s="26"/>
      <c r="D123" s="26"/>
    </row>
    <row r="124" spans="3:4" x14ac:dyDescent="0.2">
      <c r="C124" s="26"/>
      <c r="D124" s="26"/>
    </row>
    <row r="125" spans="3:4" x14ac:dyDescent="0.2">
      <c r="C125" s="26"/>
      <c r="D125" s="26"/>
    </row>
    <row r="126" spans="3:4" x14ac:dyDescent="0.2">
      <c r="C126" s="26"/>
      <c r="D126" s="26"/>
    </row>
    <row r="127" spans="3:4" x14ac:dyDescent="0.2">
      <c r="C127" s="26"/>
      <c r="D127" s="26"/>
    </row>
    <row r="128" spans="3:4" x14ac:dyDescent="0.2">
      <c r="C128" s="26"/>
      <c r="D128" s="26"/>
    </row>
    <row r="129" spans="3:4" x14ac:dyDescent="0.2">
      <c r="C129" s="26"/>
      <c r="D129" s="26"/>
    </row>
    <row r="130" spans="3:4" x14ac:dyDescent="0.2">
      <c r="C130" s="26"/>
      <c r="D130" s="26"/>
    </row>
    <row r="131" spans="3:4" x14ac:dyDescent="0.2">
      <c r="C131" s="26"/>
      <c r="D131" s="26"/>
    </row>
    <row r="132" spans="3:4" x14ac:dyDescent="0.2">
      <c r="C132" s="26"/>
      <c r="D132" s="26"/>
    </row>
    <row r="133" spans="3:4" x14ac:dyDescent="0.2">
      <c r="C133" s="26"/>
      <c r="D133" s="26"/>
    </row>
    <row r="134" spans="3:4" x14ac:dyDescent="0.2">
      <c r="C134" s="26"/>
      <c r="D134" s="26"/>
    </row>
    <row r="135" spans="3:4" x14ac:dyDescent="0.2">
      <c r="C135" s="26"/>
      <c r="D135" s="26"/>
    </row>
    <row r="136" spans="3:4" x14ac:dyDescent="0.2">
      <c r="C136" s="26"/>
      <c r="D136" s="26"/>
    </row>
    <row r="137" spans="3:4" x14ac:dyDescent="0.2">
      <c r="C137" s="26"/>
      <c r="D137" s="26"/>
    </row>
    <row r="138" spans="3:4" x14ac:dyDescent="0.2">
      <c r="C138" s="26"/>
      <c r="D138" s="26"/>
    </row>
    <row r="139" spans="3:4" x14ac:dyDescent="0.2">
      <c r="C139" s="26"/>
      <c r="D139" s="26"/>
    </row>
    <row r="140" spans="3:4" x14ac:dyDescent="0.2">
      <c r="C140" s="26"/>
      <c r="D140" s="26"/>
    </row>
    <row r="141" spans="3:4" x14ac:dyDescent="0.2">
      <c r="C141" s="26"/>
      <c r="D141" s="26"/>
    </row>
    <row r="142" spans="3:4" x14ac:dyDescent="0.2">
      <c r="C142" s="26"/>
      <c r="D142" s="26"/>
    </row>
    <row r="143" spans="3:4" x14ac:dyDescent="0.2">
      <c r="C143" s="26"/>
      <c r="D143" s="26"/>
    </row>
    <row r="144" spans="3:4" x14ac:dyDescent="0.2">
      <c r="C144" s="26"/>
      <c r="D144" s="26"/>
    </row>
    <row r="145" spans="3:4" x14ac:dyDescent="0.2">
      <c r="C145" s="26"/>
      <c r="D145" s="26"/>
    </row>
    <row r="146" spans="3:4" x14ac:dyDescent="0.2">
      <c r="C146" s="26"/>
      <c r="D146" s="26"/>
    </row>
    <row r="147" spans="3:4" x14ac:dyDescent="0.2">
      <c r="C147" s="26"/>
      <c r="D147" s="26"/>
    </row>
    <row r="148" spans="3:4" x14ac:dyDescent="0.2">
      <c r="C148" s="26"/>
      <c r="D148" s="26"/>
    </row>
    <row r="149" spans="3:4" x14ac:dyDescent="0.2">
      <c r="C149" s="26"/>
      <c r="D149" s="26"/>
    </row>
    <row r="150" spans="3:4" x14ac:dyDescent="0.2">
      <c r="C150" s="26"/>
      <c r="D150" s="26"/>
    </row>
    <row r="151" spans="3:4" x14ac:dyDescent="0.2">
      <c r="C151" s="26"/>
      <c r="D151" s="26"/>
    </row>
    <row r="152" spans="3:4" x14ac:dyDescent="0.2">
      <c r="C152" s="26"/>
      <c r="D152" s="26"/>
    </row>
    <row r="153" spans="3:4" x14ac:dyDescent="0.2">
      <c r="C153" s="26"/>
      <c r="D153" s="26"/>
    </row>
    <row r="154" spans="3:4" x14ac:dyDescent="0.2">
      <c r="C154" s="26"/>
      <c r="D154" s="26"/>
    </row>
    <row r="155" spans="3:4" x14ac:dyDescent="0.2">
      <c r="C155" s="26"/>
      <c r="D155" s="26"/>
    </row>
    <row r="156" spans="3:4" x14ac:dyDescent="0.2">
      <c r="C156" s="26"/>
      <c r="D156" s="26"/>
    </row>
    <row r="157" spans="3:4" x14ac:dyDescent="0.2">
      <c r="C157" s="26"/>
      <c r="D157" s="26"/>
    </row>
    <row r="158" spans="3:4" x14ac:dyDescent="0.2">
      <c r="C158" s="26"/>
      <c r="D158" s="26"/>
    </row>
    <row r="159" spans="3:4" x14ac:dyDescent="0.2">
      <c r="C159" s="26"/>
      <c r="D159" s="26"/>
    </row>
    <row r="160" spans="3:4" x14ac:dyDescent="0.2">
      <c r="C160" s="26"/>
      <c r="D160" s="26"/>
    </row>
    <row r="161" spans="3:4" x14ac:dyDescent="0.2">
      <c r="C161" s="26"/>
      <c r="D161" s="26"/>
    </row>
    <row r="162" spans="3:4" x14ac:dyDescent="0.2">
      <c r="C162" s="26"/>
      <c r="D162" s="26"/>
    </row>
    <row r="163" spans="3:4" x14ac:dyDescent="0.2">
      <c r="C163" s="26"/>
      <c r="D163" s="26"/>
    </row>
    <row r="164" spans="3:4" x14ac:dyDescent="0.2">
      <c r="C164" s="26"/>
      <c r="D164" s="26"/>
    </row>
    <row r="165" spans="3:4" x14ac:dyDescent="0.2">
      <c r="C165" s="26"/>
      <c r="D165" s="26"/>
    </row>
    <row r="166" spans="3:4" x14ac:dyDescent="0.2">
      <c r="C166" s="26"/>
      <c r="D166" s="26"/>
    </row>
    <row r="167" spans="3:4" x14ac:dyDescent="0.2">
      <c r="C167" s="26"/>
      <c r="D167" s="26"/>
    </row>
    <row r="168" spans="3:4" x14ac:dyDescent="0.2">
      <c r="C168" s="26"/>
      <c r="D168" s="26"/>
    </row>
    <row r="169" spans="3:4" x14ac:dyDescent="0.2">
      <c r="C169" s="26"/>
      <c r="D169" s="26"/>
    </row>
    <row r="170" spans="3:4" x14ac:dyDescent="0.2">
      <c r="C170" s="26"/>
      <c r="D170" s="26"/>
    </row>
    <row r="171" spans="3:4" x14ac:dyDescent="0.2">
      <c r="C171" s="26"/>
      <c r="D171" s="26"/>
    </row>
    <row r="172" spans="3:4" x14ac:dyDescent="0.2">
      <c r="C172" s="26"/>
      <c r="D172" s="26"/>
    </row>
    <row r="173" spans="3:4" x14ac:dyDescent="0.2">
      <c r="C173" s="26"/>
      <c r="D173" s="26"/>
    </row>
    <row r="174" spans="3:4" x14ac:dyDescent="0.2">
      <c r="C174" s="26"/>
      <c r="D174" s="26"/>
    </row>
    <row r="175" spans="3:4" x14ac:dyDescent="0.2">
      <c r="C175" s="26"/>
      <c r="D175" s="26"/>
    </row>
    <row r="176" spans="3:4" x14ac:dyDescent="0.2">
      <c r="C176" s="26"/>
      <c r="D176" s="26"/>
    </row>
    <row r="177" spans="3:4" x14ac:dyDescent="0.2">
      <c r="C177" s="26"/>
      <c r="D177" s="26"/>
    </row>
    <row r="178" spans="3:4" x14ac:dyDescent="0.2">
      <c r="C178" s="26"/>
      <c r="D178" s="26"/>
    </row>
    <row r="179" spans="3:4" x14ac:dyDescent="0.2">
      <c r="C179" s="26"/>
      <c r="D179" s="26"/>
    </row>
    <row r="180" spans="3:4" x14ac:dyDescent="0.2">
      <c r="C180" s="26"/>
      <c r="D180" s="26"/>
    </row>
    <row r="181" spans="3:4" x14ac:dyDescent="0.2">
      <c r="C181" s="26"/>
      <c r="D181" s="26"/>
    </row>
    <row r="182" spans="3:4" x14ac:dyDescent="0.2">
      <c r="C182" s="26"/>
      <c r="D182" s="26"/>
    </row>
    <row r="183" spans="3:4" x14ac:dyDescent="0.2">
      <c r="C183" s="26"/>
      <c r="D183" s="26"/>
    </row>
    <row r="184" spans="3:4" x14ac:dyDescent="0.2">
      <c r="C184" s="26"/>
      <c r="D184" s="26"/>
    </row>
    <row r="185" spans="3:4" x14ac:dyDescent="0.2">
      <c r="C185" s="26"/>
      <c r="D185" s="26"/>
    </row>
    <row r="186" spans="3:4" x14ac:dyDescent="0.2">
      <c r="C186" s="26"/>
      <c r="D186" s="26"/>
    </row>
    <row r="187" spans="3:4" x14ac:dyDescent="0.2">
      <c r="C187" s="26"/>
      <c r="D187" s="26"/>
    </row>
    <row r="188" spans="3:4" x14ac:dyDescent="0.2">
      <c r="C188" s="26"/>
      <c r="D188" s="26"/>
    </row>
    <row r="189" spans="3:4" x14ac:dyDescent="0.2">
      <c r="C189" s="26"/>
      <c r="D189" s="26"/>
    </row>
    <row r="190" spans="3:4" x14ac:dyDescent="0.2">
      <c r="C190" s="26"/>
      <c r="D190" s="26"/>
    </row>
    <row r="191" spans="3:4" x14ac:dyDescent="0.2">
      <c r="C191" s="26"/>
      <c r="D191" s="26"/>
    </row>
    <row r="192" spans="3:4" x14ac:dyDescent="0.2">
      <c r="C192" s="26"/>
      <c r="D192" s="26"/>
    </row>
    <row r="193" spans="3:4" x14ac:dyDescent="0.2">
      <c r="C193" s="26"/>
      <c r="D193" s="26"/>
    </row>
    <row r="194" spans="3:4" x14ac:dyDescent="0.2">
      <c r="C194" s="26"/>
      <c r="D194" s="26"/>
    </row>
    <row r="195" spans="3:4" x14ac:dyDescent="0.2">
      <c r="C195" s="26"/>
      <c r="D195" s="26"/>
    </row>
    <row r="196" spans="3:4" x14ac:dyDescent="0.2">
      <c r="C196" s="26"/>
      <c r="D196" s="26"/>
    </row>
    <row r="197" spans="3:4" x14ac:dyDescent="0.2">
      <c r="C197" s="26"/>
      <c r="D197" s="26"/>
    </row>
    <row r="198" spans="3:4" x14ac:dyDescent="0.2">
      <c r="C198" s="26"/>
      <c r="D198" s="26"/>
    </row>
    <row r="199" spans="3:4" x14ac:dyDescent="0.2">
      <c r="C199" s="26"/>
      <c r="D199" s="26"/>
    </row>
    <row r="200" spans="3:4" x14ac:dyDescent="0.2">
      <c r="C200" s="26"/>
      <c r="D200" s="26"/>
    </row>
    <row r="201" spans="3:4" x14ac:dyDescent="0.2">
      <c r="C201" s="26"/>
      <c r="D201" s="26"/>
    </row>
    <row r="202" spans="3:4" x14ac:dyDescent="0.2">
      <c r="C202" s="26"/>
      <c r="D202" s="26"/>
    </row>
    <row r="203" spans="3:4" x14ac:dyDescent="0.2">
      <c r="C203" s="26"/>
      <c r="D203" s="26"/>
    </row>
    <row r="204" spans="3:4" x14ac:dyDescent="0.2">
      <c r="C204" s="26"/>
      <c r="D204" s="26"/>
    </row>
    <row r="205" spans="3:4" x14ac:dyDescent="0.2">
      <c r="C205" s="26"/>
      <c r="D205" s="26"/>
    </row>
    <row r="206" spans="3:4" x14ac:dyDescent="0.2">
      <c r="C206" s="26"/>
      <c r="D206" s="26"/>
    </row>
    <row r="207" spans="3:4" x14ac:dyDescent="0.2">
      <c r="C207" s="26"/>
      <c r="D207" s="26"/>
    </row>
    <row r="208" spans="3:4" x14ac:dyDescent="0.2">
      <c r="C208" s="26"/>
      <c r="D208" s="26"/>
    </row>
    <row r="209" spans="3:4" x14ac:dyDescent="0.2">
      <c r="C209" s="26"/>
      <c r="D209" s="26"/>
    </row>
    <row r="210" spans="3:4" x14ac:dyDescent="0.2">
      <c r="C210" s="26"/>
      <c r="D210" s="26"/>
    </row>
    <row r="211" spans="3:4" x14ac:dyDescent="0.2">
      <c r="C211" s="26"/>
      <c r="D211" s="26"/>
    </row>
    <row r="212" spans="3:4" x14ac:dyDescent="0.2">
      <c r="C212" s="26"/>
      <c r="D212" s="26"/>
    </row>
    <row r="213" spans="3:4" x14ac:dyDescent="0.2">
      <c r="C213" s="26"/>
      <c r="D213" s="26"/>
    </row>
    <row r="214" spans="3:4" x14ac:dyDescent="0.2">
      <c r="C214" s="26"/>
      <c r="D214" s="26"/>
    </row>
    <row r="215" spans="3:4" x14ac:dyDescent="0.2">
      <c r="C215" s="26"/>
      <c r="D215" s="26"/>
    </row>
    <row r="216" spans="3:4" x14ac:dyDescent="0.2">
      <c r="C216" s="26"/>
      <c r="D216" s="26"/>
    </row>
    <row r="217" spans="3:4" x14ac:dyDescent="0.2">
      <c r="C217" s="26"/>
      <c r="D217" s="26"/>
    </row>
    <row r="218" spans="3:4" x14ac:dyDescent="0.2">
      <c r="C218" s="26"/>
      <c r="D218" s="26"/>
    </row>
    <row r="219" spans="3:4" x14ac:dyDescent="0.2">
      <c r="C219" s="26"/>
      <c r="D219" s="26"/>
    </row>
    <row r="220" spans="3:4" x14ac:dyDescent="0.2">
      <c r="C220" s="26"/>
      <c r="D220" s="26"/>
    </row>
    <row r="221" spans="3:4" x14ac:dyDescent="0.2">
      <c r="C221" s="26"/>
      <c r="D221" s="26"/>
    </row>
    <row r="222" spans="3:4" x14ac:dyDescent="0.2">
      <c r="C222" s="26"/>
      <c r="D222" s="26"/>
    </row>
    <row r="223" spans="3:4" x14ac:dyDescent="0.2">
      <c r="C223" s="26"/>
      <c r="D223" s="26"/>
    </row>
    <row r="224" spans="3:4" x14ac:dyDescent="0.2">
      <c r="C224" s="26"/>
      <c r="D224" s="26"/>
    </row>
    <row r="225" spans="3:4" x14ac:dyDescent="0.2">
      <c r="C225" s="26"/>
      <c r="D225" s="26"/>
    </row>
    <row r="226" spans="3:4" x14ac:dyDescent="0.2">
      <c r="C226" s="26"/>
      <c r="D226" s="26"/>
    </row>
    <row r="227" spans="3:4" x14ac:dyDescent="0.2">
      <c r="C227" s="26"/>
      <c r="D227" s="26"/>
    </row>
    <row r="228" spans="3:4" x14ac:dyDescent="0.2">
      <c r="C228" s="26"/>
      <c r="D228" s="26"/>
    </row>
    <row r="229" spans="3:4" x14ac:dyDescent="0.2">
      <c r="C229" s="26"/>
      <c r="D229" s="26"/>
    </row>
    <row r="230" spans="3:4" x14ac:dyDescent="0.2">
      <c r="C230" s="26"/>
      <c r="D230" s="26"/>
    </row>
    <row r="231" spans="3:4" x14ac:dyDescent="0.2">
      <c r="C231" s="26"/>
      <c r="D231" s="26"/>
    </row>
    <row r="232" spans="3:4" x14ac:dyDescent="0.2">
      <c r="C232" s="26"/>
      <c r="D232" s="26"/>
    </row>
    <row r="233" spans="3:4" x14ac:dyDescent="0.2">
      <c r="C233" s="26"/>
      <c r="D233" s="26"/>
    </row>
    <row r="234" spans="3:4" x14ac:dyDescent="0.2">
      <c r="C234" s="26"/>
      <c r="D234" s="26"/>
    </row>
    <row r="235" spans="3:4" x14ac:dyDescent="0.2">
      <c r="C235" s="26"/>
      <c r="D235" s="26"/>
    </row>
    <row r="236" spans="3:4" x14ac:dyDescent="0.2">
      <c r="C236" s="26"/>
      <c r="D236" s="26"/>
    </row>
    <row r="237" spans="3:4" x14ac:dyDescent="0.2">
      <c r="C237" s="26"/>
      <c r="D237" s="26"/>
    </row>
    <row r="238" spans="3:4" x14ac:dyDescent="0.2">
      <c r="C238" s="26"/>
      <c r="D238" s="26"/>
    </row>
    <row r="239" spans="3:4" x14ac:dyDescent="0.2">
      <c r="C239" s="26"/>
      <c r="D239" s="26"/>
    </row>
    <row r="240" spans="3:4" x14ac:dyDescent="0.2">
      <c r="C240" s="26"/>
      <c r="D240" s="26"/>
    </row>
    <row r="241" spans="3:4" x14ac:dyDescent="0.2">
      <c r="C241" s="26"/>
      <c r="D241" s="26"/>
    </row>
    <row r="242" spans="3:4" x14ac:dyDescent="0.2">
      <c r="C242" s="26"/>
      <c r="D242" s="26"/>
    </row>
    <row r="243" spans="3:4" x14ac:dyDescent="0.2">
      <c r="C243" s="26"/>
      <c r="D243" s="26"/>
    </row>
    <row r="244" spans="3:4" x14ac:dyDescent="0.2">
      <c r="C244" s="26"/>
      <c r="D244" s="26"/>
    </row>
    <row r="245" spans="3:4" x14ac:dyDescent="0.2">
      <c r="C245" s="26"/>
      <c r="D245" s="26"/>
    </row>
    <row r="246" spans="3:4" x14ac:dyDescent="0.2">
      <c r="C246" s="26"/>
      <c r="D246" s="26"/>
    </row>
    <row r="247" spans="3:4" x14ac:dyDescent="0.2">
      <c r="C247" s="26"/>
      <c r="D247" s="26"/>
    </row>
    <row r="248" spans="3:4" x14ac:dyDescent="0.2">
      <c r="C248" s="26"/>
      <c r="D248" s="26"/>
    </row>
    <row r="249" spans="3:4" x14ac:dyDescent="0.2">
      <c r="C249" s="26"/>
      <c r="D249" s="26"/>
    </row>
    <row r="250" spans="3:4" x14ac:dyDescent="0.2">
      <c r="C250" s="26"/>
      <c r="D250" s="26"/>
    </row>
    <row r="251" spans="3:4" x14ac:dyDescent="0.2">
      <c r="C251" s="26"/>
      <c r="D251" s="26"/>
    </row>
    <row r="252" spans="3:4" x14ac:dyDescent="0.2">
      <c r="C252" s="26"/>
      <c r="D252" s="26"/>
    </row>
    <row r="253" spans="3:4" x14ac:dyDescent="0.2">
      <c r="C253" s="26"/>
      <c r="D253" s="26"/>
    </row>
    <row r="254" spans="3:4" x14ac:dyDescent="0.2">
      <c r="C254" s="26"/>
      <c r="D254" s="26"/>
    </row>
    <row r="255" spans="3:4" x14ac:dyDescent="0.2">
      <c r="C255" s="26"/>
      <c r="D255" s="26"/>
    </row>
    <row r="256" spans="3:4" x14ac:dyDescent="0.2">
      <c r="C256" s="26"/>
      <c r="D256" s="26"/>
    </row>
    <row r="257" spans="3:4" x14ac:dyDescent="0.2">
      <c r="C257" s="26"/>
      <c r="D257" s="26"/>
    </row>
    <row r="258" spans="3:4" x14ac:dyDescent="0.2">
      <c r="C258" s="26"/>
      <c r="D258" s="26"/>
    </row>
    <row r="259" spans="3:4" x14ac:dyDescent="0.2">
      <c r="C259" s="26"/>
      <c r="D259" s="26"/>
    </row>
    <row r="260" spans="3:4" x14ac:dyDescent="0.2">
      <c r="C260" s="26"/>
      <c r="D260" s="26"/>
    </row>
    <row r="261" spans="3:4" x14ac:dyDescent="0.2">
      <c r="C261" s="26"/>
      <c r="D261" s="26"/>
    </row>
    <row r="262" spans="3:4" x14ac:dyDescent="0.2">
      <c r="C262" s="26"/>
      <c r="D262" s="26"/>
    </row>
    <row r="263" spans="3:4" x14ac:dyDescent="0.2">
      <c r="C263" s="26"/>
      <c r="D263" s="26"/>
    </row>
    <row r="264" spans="3:4" x14ac:dyDescent="0.2">
      <c r="C264" s="26"/>
      <c r="D264" s="26"/>
    </row>
    <row r="265" spans="3:4" x14ac:dyDescent="0.2">
      <c r="C265" s="26"/>
      <c r="D265" s="26"/>
    </row>
    <row r="266" spans="3:4" x14ac:dyDescent="0.2">
      <c r="C266" s="26"/>
      <c r="D266" s="26"/>
    </row>
    <row r="267" spans="3:4" x14ac:dyDescent="0.2">
      <c r="C267" s="26"/>
      <c r="D267" s="26"/>
    </row>
    <row r="268" spans="3:4" x14ac:dyDescent="0.2">
      <c r="C268" s="26"/>
      <c r="D268" s="26"/>
    </row>
    <row r="269" spans="3:4" x14ac:dyDescent="0.2">
      <c r="C269" s="26"/>
      <c r="D269" s="26"/>
    </row>
    <row r="270" spans="3:4" x14ac:dyDescent="0.2">
      <c r="C270" s="26"/>
      <c r="D270" s="26"/>
    </row>
    <row r="271" spans="3:4" x14ac:dyDescent="0.2">
      <c r="C271" s="26"/>
      <c r="D271" s="26"/>
    </row>
    <row r="272" spans="3:4" x14ac:dyDescent="0.2">
      <c r="C272" s="26"/>
      <c r="D272" s="26"/>
    </row>
    <row r="273" spans="3:4" x14ac:dyDescent="0.2">
      <c r="C273" s="26"/>
      <c r="D273" s="26"/>
    </row>
    <row r="274" spans="3:4" x14ac:dyDescent="0.2">
      <c r="C274" s="26"/>
      <c r="D274" s="26"/>
    </row>
    <row r="275" spans="3:4" x14ac:dyDescent="0.2">
      <c r="C275" s="26"/>
      <c r="D275" s="26"/>
    </row>
    <row r="276" spans="3:4" x14ac:dyDescent="0.2">
      <c r="C276" s="26"/>
      <c r="D276" s="26"/>
    </row>
    <row r="277" spans="3:4" x14ac:dyDescent="0.2">
      <c r="C277" s="26"/>
      <c r="D277" s="26"/>
    </row>
    <row r="278" spans="3:4" x14ac:dyDescent="0.2">
      <c r="C278" s="26"/>
      <c r="D278" s="26"/>
    </row>
    <row r="279" spans="3:4" x14ac:dyDescent="0.2">
      <c r="C279" s="26"/>
      <c r="D279" s="26"/>
    </row>
    <row r="280" spans="3:4" x14ac:dyDescent="0.2">
      <c r="C280" s="26"/>
      <c r="D280" s="26"/>
    </row>
    <row r="281" spans="3:4" x14ac:dyDescent="0.2">
      <c r="C281" s="26"/>
      <c r="D281" s="26"/>
    </row>
    <row r="282" spans="3:4" x14ac:dyDescent="0.2">
      <c r="C282" s="26"/>
      <c r="D282" s="26"/>
    </row>
    <row r="283" spans="3:4" x14ac:dyDescent="0.2">
      <c r="C283" s="26"/>
      <c r="D283" s="26"/>
    </row>
    <row r="284" spans="3:4" x14ac:dyDescent="0.2">
      <c r="C284" s="26"/>
      <c r="D284" s="26"/>
    </row>
    <row r="285" spans="3:4" x14ac:dyDescent="0.2">
      <c r="C285" s="26"/>
      <c r="D285" s="26"/>
    </row>
    <row r="286" spans="3:4" x14ac:dyDescent="0.2">
      <c r="C286" s="26"/>
      <c r="D286" s="26"/>
    </row>
    <row r="287" spans="3:4" x14ac:dyDescent="0.2">
      <c r="C287" s="26"/>
      <c r="D287" s="26"/>
    </row>
    <row r="288" spans="3:4" x14ac:dyDescent="0.2">
      <c r="C288" s="26"/>
      <c r="D288" s="26"/>
    </row>
    <row r="289" spans="3:4" x14ac:dyDescent="0.2">
      <c r="C289" s="26"/>
      <c r="D289" s="26"/>
    </row>
    <row r="290" spans="3:4" x14ac:dyDescent="0.2">
      <c r="C290" s="26"/>
      <c r="D290" s="26"/>
    </row>
    <row r="291" spans="3:4" x14ac:dyDescent="0.2">
      <c r="C291" s="26"/>
      <c r="D291" s="26"/>
    </row>
    <row r="292" spans="3:4" x14ac:dyDescent="0.2">
      <c r="C292" s="26"/>
      <c r="D292" s="26"/>
    </row>
    <row r="293" spans="3:4" x14ac:dyDescent="0.2">
      <c r="C293" s="26"/>
      <c r="D293" s="26"/>
    </row>
    <row r="294" spans="3:4" x14ac:dyDescent="0.2">
      <c r="C294" s="26"/>
      <c r="D294" s="26"/>
    </row>
    <row r="295" spans="3:4" x14ac:dyDescent="0.2">
      <c r="C295" s="26"/>
      <c r="D295" s="26"/>
    </row>
    <row r="296" spans="3:4" x14ac:dyDescent="0.2">
      <c r="C296" s="26"/>
      <c r="D296" s="26"/>
    </row>
    <row r="297" spans="3:4" x14ac:dyDescent="0.2">
      <c r="C297" s="26"/>
      <c r="D297" s="26"/>
    </row>
    <row r="298" spans="3:4" x14ac:dyDescent="0.2">
      <c r="C298" s="26"/>
      <c r="D298" s="26"/>
    </row>
    <row r="299" spans="3:4" x14ac:dyDescent="0.2">
      <c r="C299" s="26"/>
      <c r="D299" s="26"/>
    </row>
    <row r="300" spans="3:4" x14ac:dyDescent="0.2">
      <c r="C300" s="26"/>
      <c r="D300" s="26"/>
    </row>
    <row r="301" spans="3:4" x14ac:dyDescent="0.2">
      <c r="C301" s="26"/>
      <c r="D301" s="26"/>
    </row>
    <row r="302" spans="3:4" x14ac:dyDescent="0.2">
      <c r="C302" s="26"/>
      <c r="D302" s="26"/>
    </row>
    <row r="303" spans="3:4" x14ac:dyDescent="0.2">
      <c r="C303" s="26"/>
      <c r="D303" s="26"/>
    </row>
    <row r="304" spans="3:4" x14ac:dyDescent="0.2">
      <c r="C304" s="26"/>
      <c r="D304" s="26"/>
    </row>
    <row r="305" spans="3:4" x14ac:dyDescent="0.2">
      <c r="C305" s="26"/>
      <c r="D305" s="26"/>
    </row>
    <row r="306" spans="3:4" x14ac:dyDescent="0.2">
      <c r="C306" s="26"/>
      <c r="D306" s="26"/>
    </row>
    <row r="307" spans="3:4" x14ac:dyDescent="0.2">
      <c r="C307" s="26"/>
      <c r="D307" s="26"/>
    </row>
    <row r="308" spans="3:4" x14ac:dyDescent="0.2">
      <c r="C308" s="26"/>
      <c r="D308" s="26"/>
    </row>
    <row r="309" spans="3:4" x14ac:dyDescent="0.2">
      <c r="C309" s="26"/>
      <c r="D309" s="26"/>
    </row>
    <row r="310" spans="3:4" x14ac:dyDescent="0.2">
      <c r="C310" s="26"/>
      <c r="D310" s="26"/>
    </row>
    <row r="311" spans="3:4" x14ac:dyDescent="0.2">
      <c r="C311" s="26"/>
      <c r="D311" s="26"/>
    </row>
    <row r="312" spans="3:4" x14ac:dyDescent="0.2">
      <c r="C312" s="26"/>
      <c r="D312" s="26"/>
    </row>
    <row r="313" spans="3:4" x14ac:dyDescent="0.2">
      <c r="C313" s="26"/>
      <c r="D313" s="26"/>
    </row>
    <row r="314" spans="3:4" x14ac:dyDescent="0.2">
      <c r="C314" s="26"/>
      <c r="D314" s="26"/>
    </row>
    <row r="315" spans="3:4" x14ac:dyDescent="0.2">
      <c r="C315" s="26"/>
      <c r="D315" s="26"/>
    </row>
    <row r="316" spans="3:4" x14ac:dyDescent="0.2">
      <c r="C316" s="26"/>
      <c r="D316" s="26"/>
    </row>
    <row r="317" spans="3:4" x14ac:dyDescent="0.2">
      <c r="C317" s="26"/>
      <c r="D317" s="26"/>
    </row>
    <row r="318" spans="3:4" x14ac:dyDescent="0.2">
      <c r="C318" s="26"/>
      <c r="D318" s="26"/>
    </row>
    <row r="319" spans="3:4" x14ac:dyDescent="0.2">
      <c r="C319" s="26"/>
      <c r="D319" s="26"/>
    </row>
    <row r="320" spans="3:4" x14ac:dyDescent="0.2">
      <c r="C320" s="26"/>
      <c r="D320" s="26"/>
    </row>
    <row r="321" spans="3:4" x14ac:dyDescent="0.2">
      <c r="C321" s="26"/>
      <c r="D321" s="26"/>
    </row>
    <row r="322" spans="3:4" x14ac:dyDescent="0.2">
      <c r="C322" s="26"/>
      <c r="D322" s="26"/>
    </row>
    <row r="323" spans="3:4" x14ac:dyDescent="0.2">
      <c r="C323" s="26"/>
      <c r="D323" s="26"/>
    </row>
    <row r="324" spans="3:4" x14ac:dyDescent="0.2">
      <c r="C324" s="26"/>
      <c r="D324" s="26"/>
    </row>
    <row r="325" spans="3:4" x14ac:dyDescent="0.2">
      <c r="C325" s="26"/>
      <c r="D325" s="26"/>
    </row>
    <row r="326" spans="3:4" x14ac:dyDescent="0.2">
      <c r="C326" s="26"/>
      <c r="D326" s="26"/>
    </row>
    <row r="327" spans="3:4" x14ac:dyDescent="0.2">
      <c r="C327" s="26"/>
      <c r="D327" s="26"/>
    </row>
    <row r="328" spans="3:4" x14ac:dyDescent="0.2">
      <c r="C328" s="26"/>
      <c r="D328" s="26"/>
    </row>
    <row r="329" spans="3:4" x14ac:dyDescent="0.2">
      <c r="C329" s="26"/>
      <c r="D329" s="26"/>
    </row>
    <row r="330" spans="3:4" x14ac:dyDescent="0.2">
      <c r="C330" s="26"/>
      <c r="D330" s="26"/>
    </row>
    <row r="331" spans="3:4" x14ac:dyDescent="0.2">
      <c r="C331" s="26"/>
      <c r="D331" s="26"/>
    </row>
    <row r="332" spans="3:4" x14ac:dyDescent="0.2">
      <c r="C332" s="26"/>
      <c r="D332" s="26"/>
    </row>
    <row r="333" spans="3:4" x14ac:dyDescent="0.2">
      <c r="C333" s="26"/>
      <c r="D333" s="26"/>
    </row>
    <row r="334" spans="3:4" x14ac:dyDescent="0.2">
      <c r="C334" s="26"/>
      <c r="D334" s="26"/>
    </row>
    <row r="335" spans="3:4" x14ac:dyDescent="0.2">
      <c r="C335" s="26"/>
      <c r="D335" s="26"/>
    </row>
    <row r="336" spans="3:4" x14ac:dyDescent="0.2">
      <c r="C336" s="26"/>
      <c r="D336" s="26"/>
    </row>
    <row r="337" spans="3:4" x14ac:dyDescent="0.2">
      <c r="C337" s="26"/>
      <c r="D337" s="26"/>
    </row>
    <row r="338" spans="3:4" x14ac:dyDescent="0.2">
      <c r="C338" s="26"/>
      <c r="D338" s="26"/>
    </row>
    <row r="339" spans="3:4" x14ac:dyDescent="0.2">
      <c r="C339" s="26"/>
      <c r="D339" s="26"/>
    </row>
    <row r="340" spans="3:4" x14ac:dyDescent="0.2">
      <c r="C340" s="26"/>
      <c r="D340" s="26"/>
    </row>
    <row r="341" spans="3:4" x14ac:dyDescent="0.2">
      <c r="C341" s="26"/>
      <c r="D341" s="26"/>
    </row>
    <row r="342" spans="3:4" x14ac:dyDescent="0.2">
      <c r="C342" s="26"/>
      <c r="D342" s="26"/>
    </row>
    <row r="343" spans="3:4" x14ac:dyDescent="0.2">
      <c r="C343" s="26"/>
      <c r="D343" s="26"/>
    </row>
    <row r="344" spans="3:4" x14ac:dyDescent="0.2">
      <c r="C344" s="26"/>
      <c r="D344" s="26"/>
    </row>
    <row r="345" spans="3:4" x14ac:dyDescent="0.2">
      <c r="C345" s="26"/>
      <c r="D345" s="26"/>
    </row>
    <row r="346" spans="3:4" x14ac:dyDescent="0.2">
      <c r="C346" s="26"/>
      <c r="D346" s="26"/>
    </row>
    <row r="347" spans="3:4" x14ac:dyDescent="0.2">
      <c r="C347" s="26"/>
      <c r="D347" s="26"/>
    </row>
    <row r="348" spans="3:4" x14ac:dyDescent="0.2">
      <c r="C348" s="26"/>
      <c r="D348" s="26"/>
    </row>
    <row r="349" spans="3:4" x14ac:dyDescent="0.2">
      <c r="C349" s="26"/>
      <c r="D349" s="26"/>
    </row>
    <row r="350" spans="3:4" x14ac:dyDescent="0.2">
      <c r="C350" s="26"/>
      <c r="D350" s="26"/>
    </row>
    <row r="351" spans="3:4" x14ac:dyDescent="0.2">
      <c r="C351" s="26"/>
      <c r="D351" s="26"/>
    </row>
    <row r="352" spans="3:4" x14ac:dyDescent="0.2">
      <c r="C352" s="26"/>
      <c r="D352" s="26"/>
    </row>
    <row r="353" spans="3:4" x14ac:dyDescent="0.2">
      <c r="C353" s="26"/>
      <c r="D353" s="26"/>
    </row>
    <row r="354" spans="3:4" x14ac:dyDescent="0.2">
      <c r="C354" s="26"/>
      <c r="D354" s="26"/>
    </row>
    <row r="355" spans="3:4" x14ac:dyDescent="0.2">
      <c r="C355" s="26"/>
      <c r="D355" s="26"/>
    </row>
    <row r="356" spans="3:4" x14ac:dyDescent="0.2">
      <c r="C356" s="26"/>
      <c r="D356" s="26"/>
    </row>
    <row r="357" spans="3:4" x14ac:dyDescent="0.2">
      <c r="C357" s="26"/>
      <c r="D357" s="26"/>
    </row>
    <row r="358" spans="3:4" x14ac:dyDescent="0.2">
      <c r="C358" s="26"/>
      <c r="D358" s="26"/>
    </row>
    <row r="359" spans="3:4" x14ac:dyDescent="0.2">
      <c r="C359" s="26"/>
      <c r="D359" s="26"/>
    </row>
    <row r="360" spans="3:4" x14ac:dyDescent="0.2">
      <c r="C360" s="26"/>
      <c r="D360" s="26"/>
    </row>
    <row r="361" spans="3:4" x14ac:dyDescent="0.2">
      <c r="C361" s="26"/>
      <c r="D361" s="26"/>
    </row>
    <row r="362" spans="3:4" x14ac:dyDescent="0.2">
      <c r="C362" s="26"/>
      <c r="D362" s="26"/>
    </row>
    <row r="363" spans="3:4" x14ac:dyDescent="0.2">
      <c r="C363" s="26"/>
      <c r="D363" s="26"/>
    </row>
    <row r="364" spans="3:4" x14ac:dyDescent="0.2">
      <c r="C364" s="26"/>
      <c r="D364" s="26"/>
    </row>
    <row r="365" spans="3:4" x14ac:dyDescent="0.2">
      <c r="C365" s="26"/>
      <c r="D365" s="26"/>
    </row>
    <row r="366" spans="3:4" x14ac:dyDescent="0.2">
      <c r="C366" s="26"/>
      <c r="D366" s="26"/>
    </row>
    <row r="367" spans="3:4" x14ac:dyDescent="0.2">
      <c r="C367" s="26"/>
      <c r="D367" s="26"/>
    </row>
    <row r="368" spans="3:4" x14ac:dyDescent="0.2">
      <c r="C368" s="26"/>
      <c r="D368" s="26"/>
    </row>
    <row r="369" spans="3:4" x14ac:dyDescent="0.2">
      <c r="C369" s="26"/>
      <c r="D369" s="26"/>
    </row>
    <row r="370" spans="3:4" x14ac:dyDescent="0.2">
      <c r="C370" s="26"/>
      <c r="D370" s="26"/>
    </row>
    <row r="371" spans="3:4" x14ac:dyDescent="0.2">
      <c r="C371" s="26"/>
      <c r="D371" s="26"/>
    </row>
    <row r="372" spans="3:4" x14ac:dyDescent="0.2">
      <c r="C372" s="26"/>
      <c r="D372" s="26"/>
    </row>
    <row r="373" spans="3:4" x14ac:dyDescent="0.2">
      <c r="C373" s="26"/>
      <c r="D373" s="26"/>
    </row>
    <row r="374" spans="3:4" x14ac:dyDescent="0.2">
      <c r="C374" s="26"/>
      <c r="D374" s="26"/>
    </row>
    <row r="375" spans="3:4" x14ac:dyDescent="0.2">
      <c r="C375" s="26"/>
      <c r="D375" s="26"/>
    </row>
    <row r="376" spans="3:4" x14ac:dyDescent="0.2">
      <c r="C376" s="26"/>
      <c r="D376" s="26"/>
    </row>
    <row r="377" spans="3:4" x14ac:dyDescent="0.2">
      <c r="C377" s="26"/>
      <c r="D377" s="26"/>
    </row>
    <row r="378" spans="3:4" x14ac:dyDescent="0.2">
      <c r="C378" s="26"/>
      <c r="D378" s="26"/>
    </row>
    <row r="379" spans="3:4" x14ac:dyDescent="0.2">
      <c r="C379" s="26"/>
      <c r="D379" s="26"/>
    </row>
    <row r="380" spans="3:4" x14ac:dyDescent="0.2">
      <c r="C380" s="26"/>
      <c r="D380" s="26"/>
    </row>
    <row r="381" spans="3:4" x14ac:dyDescent="0.2">
      <c r="C381" s="26"/>
      <c r="D381" s="26"/>
    </row>
    <row r="382" spans="3:4" x14ac:dyDescent="0.2">
      <c r="C382" s="26"/>
      <c r="D382" s="26"/>
    </row>
    <row r="383" spans="3:4" x14ac:dyDescent="0.2">
      <c r="C383" s="26"/>
      <c r="D383" s="26"/>
    </row>
    <row r="384" spans="3:4" x14ac:dyDescent="0.2">
      <c r="C384" s="26"/>
      <c r="D384" s="26"/>
    </row>
    <row r="385" spans="3:4" x14ac:dyDescent="0.2">
      <c r="C385" s="26"/>
      <c r="D385" s="26"/>
    </row>
    <row r="386" spans="3:4" x14ac:dyDescent="0.2">
      <c r="C386" s="26"/>
      <c r="D386" s="26"/>
    </row>
    <row r="387" spans="3:4" x14ac:dyDescent="0.2">
      <c r="C387" s="26"/>
      <c r="D387" s="26"/>
    </row>
    <row r="388" spans="3:4" x14ac:dyDescent="0.2">
      <c r="C388" s="26"/>
      <c r="D388" s="26"/>
    </row>
    <row r="389" spans="3:4" x14ac:dyDescent="0.2">
      <c r="C389" s="26"/>
      <c r="D389" s="26"/>
    </row>
    <row r="390" spans="3:4" x14ac:dyDescent="0.2">
      <c r="C390" s="26"/>
      <c r="D390" s="26"/>
    </row>
    <row r="391" spans="3:4" x14ac:dyDescent="0.2">
      <c r="C391" s="26"/>
      <c r="D391" s="26"/>
    </row>
    <row r="392" spans="3:4" x14ac:dyDescent="0.2">
      <c r="C392" s="26"/>
      <c r="D392" s="26"/>
    </row>
    <row r="393" spans="3:4" x14ac:dyDescent="0.2">
      <c r="C393" s="26"/>
      <c r="D393" s="26"/>
    </row>
    <row r="394" spans="3:4" x14ac:dyDescent="0.2">
      <c r="C394" s="26"/>
      <c r="D394" s="26"/>
    </row>
    <row r="395" spans="3:4" x14ac:dyDescent="0.2">
      <c r="C395" s="26"/>
      <c r="D395" s="26"/>
    </row>
    <row r="396" spans="3:4" x14ac:dyDescent="0.2">
      <c r="C396" s="26"/>
      <c r="D396" s="26"/>
    </row>
    <row r="397" spans="3:4" x14ac:dyDescent="0.2">
      <c r="C397" s="26"/>
      <c r="D397" s="26"/>
    </row>
    <row r="398" spans="3:4" x14ac:dyDescent="0.2">
      <c r="C398" s="26"/>
      <c r="D398" s="26"/>
    </row>
    <row r="399" spans="3:4" x14ac:dyDescent="0.2">
      <c r="C399" s="26"/>
      <c r="D399" s="26"/>
    </row>
    <row r="400" spans="3:4" x14ac:dyDescent="0.2">
      <c r="C400" s="26"/>
      <c r="D400" s="26"/>
    </row>
    <row r="401" spans="3:4" x14ac:dyDescent="0.2">
      <c r="C401" s="26"/>
      <c r="D401" s="26"/>
    </row>
    <row r="402" spans="3:4" x14ac:dyDescent="0.2">
      <c r="C402" s="26"/>
      <c r="D402" s="26"/>
    </row>
    <row r="403" spans="3:4" x14ac:dyDescent="0.2">
      <c r="C403" s="26"/>
      <c r="D403" s="26"/>
    </row>
    <row r="404" spans="3:4" x14ac:dyDescent="0.2">
      <c r="C404" s="26"/>
      <c r="D404" s="26"/>
    </row>
    <row r="405" spans="3:4" x14ac:dyDescent="0.2">
      <c r="C405" s="26"/>
      <c r="D405" s="26"/>
    </row>
    <row r="406" spans="3:4" x14ac:dyDescent="0.2">
      <c r="C406" s="26"/>
      <c r="D406" s="26"/>
    </row>
    <row r="407" spans="3:4" x14ac:dyDescent="0.2">
      <c r="C407" s="26"/>
      <c r="D407" s="26"/>
    </row>
    <row r="408" spans="3:4" x14ac:dyDescent="0.2">
      <c r="C408" s="26"/>
      <c r="D408" s="26"/>
    </row>
    <row r="409" spans="3:4" x14ac:dyDescent="0.2">
      <c r="C409" s="26"/>
      <c r="D409" s="26"/>
    </row>
    <row r="410" spans="3:4" x14ac:dyDescent="0.2">
      <c r="C410" s="26"/>
      <c r="D410" s="26"/>
    </row>
    <row r="411" spans="3:4" x14ac:dyDescent="0.2">
      <c r="C411" s="26"/>
      <c r="D411" s="26"/>
    </row>
    <row r="412" spans="3:4" x14ac:dyDescent="0.2">
      <c r="C412" s="26"/>
      <c r="D412" s="26"/>
    </row>
    <row r="413" spans="3:4" x14ac:dyDescent="0.2">
      <c r="C413" s="26"/>
      <c r="D413" s="26"/>
    </row>
    <row r="414" spans="3:4" x14ac:dyDescent="0.2">
      <c r="C414" s="26"/>
      <c r="D414" s="26"/>
    </row>
    <row r="415" spans="3:4" x14ac:dyDescent="0.2">
      <c r="C415" s="26"/>
      <c r="D415" s="26"/>
    </row>
    <row r="416" spans="3:4" x14ac:dyDescent="0.2">
      <c r="C416" s="26"/>
      <c r="D416" s="26"/>
    </row>
    <row r="417" spans="3:4" x14ac:dyDescent="0.2">
      <c r="C417" s="26"/>
      <c r="D417" s="26"/>
    </row>
    <row r="418" spans="3:4" x14ac:dyDescent="0.2">
      <c r="C418" s="26"/>
      <c r="D418" s="26"/>
    </row>
    <row r="419" spans="3:4" x14ac:dyDescent="0.2">
      <c r="C419" s="26"/>
      <c r="D419" s="26"/>
    </row>
    <row r="420" spans="3:4" x14ac:dyDescent="0.2">
      <c r="C420" s="26"/>
      <c r="D420" s="26"/>
    </row>
    <row r="421" spans="3:4" x14ac:dyDescent="0.2">
      <c r="C421" s="26"/>
      <c r="D421" s="26"/>
    </row>
    <row r="422" spans="3:4" x14ac:dyDescent="0.2">
      <c r="C422" s="26"/>
      <c r="D422" s="26"/>
    </row>
    <row r="423" spans="3:4" x14ac:dyDescent="0.2">
      <c r="C423" s="26"/>
      <c r="D423" s="26"/>
    </row>
    <row r="424" spans="3:4" x14ac:dyDescent="0.2">
      <c r="C424" s="26"/>
      <c r="D424" s="26"/>
    </row>
    <row r="425" spans="3:4" x14ac:dyDescent="0.2">
      <c r="C425" s="26"/>
      <c r="D425" s="26"/>
    </row>
    <row r="426" spans="3:4" x14ac:dyDescent="0.2">
      <c r="C426" s="26"/>
      <c r="D426" s="26"/>
    </row>
    <row r="427" spans="3:4" x14ac:dyDescent="0.2">
      <c r="C427" s="26"/>
      <c r="D427" s="26"/>
    </row>
    <row r="428" spans="3:4" x14ac:dyDescent="0.2">
      <c r="C428" s="26"/>
      <c r="D428" s="26"/>
    </row>
    <row r="429" spans="3:4" x14ac:dyDescent="0.2">
      <c r="C429" s="26"/>
      <c r="D429" s="26"/>
    </row>
    <row r="430" spans="3:4" x14ac:dyDescent="0.2">
      <c r="C430" s="26"/>
      <c r="D430" s="26"/>
    </row>
    <row r="431" spans="3:4" x14ac:dyDescent="0.2">
      <c r="C431" s="26"/>
      <c r="D431" s="26"/>
    </row>
    <row r="432" spans="3:4" x14ac:dyDescent="0.2">
      <c r="C432" s="26"/>
      <c r="D432" s="26"/>
    </row>
    <row r="433" spans="3:4" x14ac:dyDescent="0.2">
      <c r="C433" s="26"/>
      <c r="D433" s="26"/>
    </row>
    <row r="434" spans="3:4" x14ac:dyDescent="0.2">
      <c r="C434" s="26"/>
      <c r="D434" s="26"/>
    </row>
    <row r="435" spans="3:4" x14ac:dyDescent="0.2">
      <c r="C435" s="26"/>
      <c r="D435" s="26"/>
    </row>
    <row r="436" spans="3:4" x14ac:dyDescent="0.2">
      <c r="C436" s="26"/>
      <c r="D436" s="26"/>
    </row>
    <row r="437" spans="3:4" x14ac:dyDescent="0.2">
      <c r="C437" s="26"/>
      <c r="D437" s="26"/>
    </row>
    <row r="438" spans="3:4" x14ac:dyDescent="0.2">
      <c r="C438" s="26"/>
      <c r="D438" s="26"/>
    </row>
    <row r="439" spans="3:4" x14ac:dyDescent="0.2">
      <c r="C439" s="26"/>
      <c r="D439" s="26"/>
    </row>
    <row r="440" spans="3:4" x14ac:dyDescent="0.2">
      <c r="C440" s="26"/>
      <c r="D440" s="26"/>
    </row>
    <row r="441" spans="3:4" x14ac:dyDescent="0.2">
      <c r="C441" s="26"/>
      <c r="D441" s="26"/>
    </row>
    <row r="442" spans="3:4" x14ac:dyDescent="0.2">
      <c r="C442" s="26"/>
      <c r="D442" s="26"/>
    </row>
    <row r="443" spans="3:4" x14ac:dyDescent="0.2">
      <c r="C443" s="26"/>
      <c r="D443" s="26"/>
    </row>
    <row r="444" spans="3:4" x14ac:dyDescent="0.2">
      <c r="C444" s="26"/>
      <c r="D444" s="26"/>
    </row>
    <row r="445" spans="3:4" x14ac:dyDescent="0.2">
      <c r="C445" s="26"/>
      <c r="D445" s="26"/>
    </row>
    <row r="446" spans="3:4" x14ac:dyDescent="0.2">
      <c r="C446" s="26"/>
      <c r="D446" s="26"/>
    </row>
    <row r="447" spans="3:4" x14ac:dyDescent="0.2">
      <c r="C447" s="26"/>
      <c r="D447" s="26"/>
    </row>
    <row r="448" spans="3:4" x14ac:dyDescent="0.2">
      <c r="C448" s="26"/>
      <c r="D448" s="26"/>
    </row>
    <row r="449" spans="3:4" x14ac:dyDescent="0.2">
      <c r="C449" s="26"/>
      <c r="D449" s="26"/>
    </row>
    <row r="450" spans="3:4" x14ac:dyDescent="0.2">
      <c r="C450" s="26"/>
      <c r="D450" s="26"/>
    </row>
    <row r="451" spans="3:4" x14ac:dyDescent="0.2">
      <c r="C451" s="26"/>
      <c r="D451" s="26"/>
    </row>
    <row r="452" spans="3:4" x14ac:dyDescent="0.2">
      <c r="C452" s="26"/>
      <c r="D452" s="26"/>
    </row>
    <row r="453" spans="3:4" x14ac:dyDescent="0.2">
      <c r="C453" s="26"/>
      <c r="D453" s="26"/>
    </row>
    <row r="454" spans="3:4" x14ac:dyDescent="0.2">
      <c r="C454" s="26"/>
      <c r="D454" s="26"/>
    </row>
    <row r="455" spans="3:4" x14ac:dyDescent="0.2">
      <c r="C455" s="26"/>
      <c r="D455" s="26"/>
    </row>
    <row r="456" spans="3:4" x14ac:dyDescent="0.2">
      <c r="C456" s="26"/>
      <c r="D456" s="26"/>
    </row>
    <row r="457" spans="3:4" x14ac:dyDescent="0.2">
      <c r="C457" s="26"/>
      <c r="D457" s="26"/>
    </row>
    <row r="458" spans="3:4" x14ac:dyDescent="0.2">
      <c r="C458" s="26"/>
      <c r="D458" s="26"/>
    </row>
    <row r="459" spans="3:4" x14ac:dyDescent="0.2">
      <c r="C459" s="26"/>
      <c r="D459" s="26"/>
    </row>
    <row r="460" spans="3:4" x14ac:dyDescent="0.2">
      <c r="C460" s="26"/>
      <c r="D460" s="26"/>
    </row>
    <row r="461" spans="3:4" x14ac:dyDescent="0.2">
      <c r="C461" s="26"/>
      <c r="D461" s="26"/>
    </row>
    <row r="462" spans="3:4" x14ac:dyDescent="0.2">
      <c r="C462" s="26"/>
      <c r="D462" s="26"/>
    </row>
    <row r="463" spans="3:4" x14ac:dyDescent="0.2">
      <c r="C463" s="26"/>
      <c r="D463" s="26"/>
    </row>
    <row r="464" spans="3:4" x14ac:dyDescent="0.2">
      <c r="C464" s="26"/>
      <c r="D464" s="26"/>
    </row>
    <row r="465" spans="3:4" x14ac:dyDescent="0.2">
      <c r="C465" s="26"/>
      <c r="D465" s="26"/>
    </row>
    <row r="466" spans="3:4" x14ac:dyDescent="0.2">
      <c r="C466" s="26"/>
      <c r="D466" s="26"/>
    </row>
    <row r="467" spans="3:4" x14ac:dyDescent="0.2">
      <c r="C467" s="26"/>
      <c r="D467" s="26"/>
    </row>
    <row r="468" spans="3:4" x14ac:dyDescent="0.2">
      <c r="C468" s="26"/>
      <c r="D468" s="26"/>
    </row>
    <row r="469" spans="3:4" x14ac:dyDescent="0.2">
      <c r="C469" s="26"/>
      <c r="D469" s="26"/>
    </row>
    <row r="470" spans="3:4" x14ac:dyDescent="0.2">
      <c r="C470" s="26"/>
      <c r="D470" s="26"/>
    </row>
    <row r="471" spans="3:4" x14ac:dyDescent="0.2">
      <c r="C471" s="26"/>
      <c r="D471" s="26"/>
    </row>
    <row r="472" spans="3:4" x14ac:dyDescent="0.2">
      <c r="C472" s="26"/>
      <c r="D472" s="26"/>
    </row>
    <row r="473" spans="3:4" x14ac:dyDescent="0.2">
      <c r="C473" s="26"/>
      <c r="D473" s="26"/>
    </row>
    <row r="474" spans="3:4" x14ac:dyDescent="0.2">
      <c r="C474" s="26"/>
      <c r="D474" s="26"/>
    </row>
    <row r="475" spans="3:4" x14ac:dyDescent="0.2">
      <c r="C475" s="26"/>
      <c r="D475" s="26"/>
    </row>
    <row r="476" spans="3:4" x14ac:dyDescent="0.2">
      <c r="C476" s="26"/>
      <c r="D476" s="26"/>
    </row>
    <row r="477" spans="3:4" x14ac:dyDescent="0.2">
      <c r="C477" s="26"/>
      <c r="D477" s="26"/>
    </row>
    <row r="478" spans="3:4" x14ac:dyDescent="0.2">
      <c r="C478" s="26"/>
      <c r="D478" s="26"/>
    </row>
    <row r="479" spans="3:4" x14ac:dyDescent="0.2">
      <c r="C479" s="26"/>
      <c r="D479" s="26"/>
    </row>
    <row r="480" spans="3:4" x14ac:dyDescent="0.2">
      <c r="C480" s="26"/>
      <c r="D480" s="26"/>
    </row>
    <row r="481" spans="3:4" x14ac:dyDescent="0.2">
      <c r="C481" s="26"/>
      <c r="D481" s="26"/>
    </row>
    <row r="482" spans="3:4" x14ac:dyDescent="0.2">
      <c r="C482" s="26"/>
      <c r="D482" s="26"/>
    </row>
    <row r="483" spans="3:4" x14ac:dyDescent="0.2">
      <c r="C483" s="26"/>
      <c r="D483" s="26"/>
    </row>
    <row r="484" spans="3:4" x14ac:dyDescent="0.2">
      <c r="C484" s="26"/>
      <c r="D484" s="26"/>
    </row>
    <row r="485" spans="3:4" x14ac:dyDescent="0.2">
      <c r="C485" s="26"/>
      <c r="D485" s="26"/>
    </row>
    <row r="486" spans="3:4" x14ac:dyDescent="0.2">
      <c r="C486" s="26"/>
      <c r="D486" s="26"/>
    </row>
    <row r="487" spans="3:4" x14ac:dyDescent="0.2">
      <c r="C487" s="26"/>
      <c r="D487" s="26"/>
    </row>
    <row r="488" spans="3:4" x14ac:dyDescent="0.2">
      <c r="C488" s="26"/>
      <c r="D488" s="26"/>
    </row>
    <row r="489" spans="3:4" x14ac:dyDescent="0.2">
      <c r="C489" s="26"/>
      <c r="D489" s="26"/>
    </row>
    <row r="490" spans="3:4" x14ac:dyDescent="0.2">
      <c r="C490" s="26"/>
      <c r="D490" s="26"/>
    </row>
    <row r="491" spans="3:4" x14ac:dyDescent="0.2">
      <c r="C491" s="26"/>
      <c r="D491" s="26"/>
    </row>
    <row r="492" spans="3:4" x14ac:dyDescent="0.2">
      <c r="C492" s="26"/>
      <c r="D492" s="26"/>
    </row>
    <row r="493" spans="3:4" x14ac:dyDescent="0.2">
      <c r="C493" s="26"/>
      <c r="D493" s="26"/>
    </row>
    <row r="494" spans="3:4" x14ac:dyDescent="0.2">
      <c r="C494" s="26"/>
      <c r="D494" s="26"/>
    </row>
    <row r="495" spans="3:4" x14ac:dyDescent="0.2">
      <c r="C495" s="26"/>
      <c r="D495" s="26"/>
    </row>
    <row r="496" spans="3:4" x14ac:dyDescent="0.2">
      <c r="C496" s="26"/>
      <c r="D496" s="26"/>
    </row>
    <row r="497" spans="3:4" x14ac:dyDescent="0.2">
      <c r="C497" s="26"/>
      <c r="D497" s="26"/>
    </row>
    <row r="498" spans="3:4" x14ac:dyDescent="0.2">
      <c r="C498" s="26"/>
      <c r="D498" s="26"/>
    </row>
    <row r="499" spans="3:4" x14ac:dyDescent="0.2">
      <c r="C499" s="26"/>
      <c r="D499" s="26"/>
    </row>
    <row r="500" spans="3:4" x14ac:dyDescent="0.2">
      <c r="C500" s="26"/>
      <c r="D500" s="26"/>
    </row>
    <row r="501" spans="3:4" x14ac:dyDescent="0.2">
      <c r="C501" s="26"/>
      <c r="D501" s="26"/>
    </row>
    <row r="502" spans="3:4" x14ac:dyDescent="0.2">
      <c r="C502" s="26"/>
      <c r="D502" s="26"/>
    </row>
    <row r="503" spans="3:4" x14ac:dyDescent="0.2">
      <c r="C503" s="26"/>
      <c r="D503" s="26"/>
    </row>
    <row r="504" spans="3:4" x14ac:dyDescent="0.2">
      <c r="C504" s="26"/>
      <c r="D504" s="26"/>
    </row>
    <row r="505" spans="3:4" x14ac:dyDescent="0.2">
      <c r="C505" s="26"/>
      <c r="D505" s="26"/>
    </row>
    <row r="506" spans="3:4" x14ac:dyDescent="0.2">
      <c r="C506" s="26"/>
      <c r="D506" s="26"/>
    </row>
    <row r="507" spans="3:4" x14ac:dyDescent="0.2">
      <c r="C507" s="26"/>
      <c r="D507" s="26"/>
    </row>
    <row r="508" spans="3:4" x14ac:dyDescent="0.2">
      <c r="C508" s="26"/>
      <c r="D508" s="26"/>
    </row>
    <row r="509" spans="3:4" x14ac:dyDescent="0.2">
      <c r="C509" s="26"/>
      <c r="D509" s="26"/>
    </row>
    <row r="510" spans="3:4" x14ac:dyDescent="0.2">
      <c r="C510" s="26"/>
      <c r="D510" s="26"/>
    </row>
    <row r="511" spans="3:4" x14ac:dyDescent="0.2">
      <c r="C511" s="26"/>
      <c r="D511" s="26"/>
    </row>
    <row r="512" spans="3:4" x14ac:dyDescent="0.2">
      <c r="C512" s="26"/>
      <c r="D512" s="26"/>
    </row>
    <row r="513" spans="3:4" x14ac:dyDescent="0.2">
      <c r="C513" s="26"/>
      <c r="D513" s="26"/>
    </row>
    <row r="514" spans="3:4" x14ac:dyDescent="0.2">
      <c r="C514" s="26"/>
      <c r="D514" s="26"/>
    </row>
    <row r="515" spans="3:4" x14ac:dyDescent="0.2">
      <c r="C515" s="26"/>
      <c r="D515" s="26"/>
    </row>
    <row r="516" spans="3:4" x14ac:dyDescent="0.2">
      <c r="C516" s="26"/>
      <c r="D516" s="26"/>
    </row>
    <row r="517" spans="3:4" x14ac:dyDescent="0.2">
      <c r="C517" s="26"/>
      <c r="D517" s="26"/>
    </row>
    <row r="518" spans="3:4" x14ac:dyDescent="0.2">
      <c r="C518" s="26"/>
      <c r="D518" s="26"/>
    </row>
    <row r="519" spans="3:4" x14ac:dyDescent="0.2">
      <c r="C519" s="26"/>
      <c r="D519" s="26"/>
    </row>
    <row r="520" spans="3:4" x14ac:dyDescent="0.2">
      <c r="C520" s="26"/>
      <c r="D520" s="26"/>
    </row>
    <row r="521" spans="3:4" x14ac:dyDescent="0.2">
      <c r="C521" s="26"/>
      <c r="D521" s="26"/>
    </row>
    <row r="522" spans="3:4" x14ac:dyDescent="0.2">
      <c r="C522" s="26"/>
      <c r="D522" s="26"/>
    </row>
    <row r="523" spans="3:4" x14ac:dyDescent="0.2">
      <c r="C523" s="26"/>
      <c r="D523" s="26"/>
    </row>
    <row r="524" spans="3:4" x14ac:dyDescent="0.2">
      <c r="C524" s="26"/>
      <c r="D524" s="26"/>
    </row>
    <row r="525" spans="3:4" x14ac:dyDescent="0.2">
      <c r="C525" s="26"/>
      <c r="D525" s="26"/>
    </row>
    <row r="526" spans="3:4" x14ac:dyDescent="0.2">
      <c r="C526" s="26"/>
      <c r="D526" s="26"/>
    </row>
    <row r="527" spans="3:4" x14ac:dyDescent="0.2">
      <c r="C527" s="26"/>
      <c r="D527" s="26"/>
    </row>
    <row r="528" spans="3:4" x14ac:dyDescent="0.2">
      <c r="C528" s="26"/>
      <c r="D528" s="26"/>
    </row>
    <row r="529" spans="3:4" x14ac:dyDescent="0.2">
      <c r="C529" s="26"/>
      <c r="D529" s="26"/>
    </row>
    <row r="530" spans="3:4" x14ac:dyDescent="0.2">
      <c r="C530" s="26"/>
      <c r="D530" s="26"/>
    </row>
    <row r="531" spans="3:4" x14ac:dyDescent="0.2">
      <c r="C531" s="26"/>
      <c r="D531" s="26"/>
    </row>
    <row r="532" spans="3:4" x14ac:dyDescent="0.2">
      <c r="C532" s="26"/>
      <c r="D532" s="26"/>
    </row>
    <row r="533" spans="3:4" x14ac:dyDescent="0.2">
      <c r="C533" s="26"/>
      <c r="D533" s="26"/>
    </row>
    <row r="534" spans="3:4" x14ac:dyDescent="0.2">
      <c r="C534" s="26"/>
      <c r="D534" s="26"/>
    </row>
    <row r="535" spans="3:4" x14ac:dyDescent="0.2">
      <c r="C535" s="26"/>
      <c r="D535" s="26"/>
    </row>
    <row r="536" spans="3:4" x14ac:dyDescent="0.2">
      <c r="C536" s="26"/>
      <c r="D536" s="26"/>
    </row>
    <row r="537" spans="3:4" x14ac:dyDescent="0.2">
      <c r="C537" s="26"/>
      <c r="D537" s="26"/>
    </row>
    <row r="538" spans="3:4" x14ac:dyDescent="0.2">
      <c r="C538" s="26"/>
      <c r="D538" s="26"/>
    </row>
    <row r="539" spans="3:4" x14ac:dyDescent="0.2">
      <c r="C539" s="26"/>
      <c r="D539" s="26"/>
    </row>
    <row r="540" spans="3:4" x14ac:dyDescent="0.2">
      <c r="C540" s="26"/>
      <c r="D540" s="26"/>
    </row>
    <row r="541" spans="3:4" x14ac:dyDescent="0.2">
      <c r="C541" s="26"/>
      <c r="D541" s="26"/>
    </row>
    <row r="542" spans="3:4" x14ac:dyDescent="0.2">
      <c r="C542" s="26"/>
      <c r="D542" s="26"/>
    </row>
    <row r="543" spans="3:4" x14ac:dyDescent="0.2">
      <c r="C543" s="26"/>
      <c r="D543" s="26"/>
    </row>
    <row r="544" spans="3:4" x14ac:dyDescent="0.2">
      <c r="C544" s="26"/>
      <c r="D544" s="26"/>
    </row>
    <row r="545" spans="3:4" x14ac:dyDescent="0.2">
      <c r="C545" s="26"/>
      <c r="D545" s="26"/>
    </row>
    <row r="546" spans="3:4" x14ac:dyDescent="0.2">
      <c r="C546" s="26"/>
      <c r="D546" s="26"/>
    </row>
    <row r="547" spans="3:4" x14ac:dyDescent="0.2">
      <c r="C547" s="26"/>
      <c r="D547" s="26"/>
    </row>
    <row r="548" spans="3:4" x14ac:dyDescent="0.2">
      <c r="C548" s="26"/>
      <c r="D548" s="26"/>
    </row>
    <row r="549" spans="3:4" x14ac:dyDescent="0.2">
      <c r="C549" s="26"/>
      <c r="D549" s="26"/>
    </row>
    <row r="550" spans="3:4" x14ac:dyDescent="0.2">
      <c r="C550" s="26"/>
      <c r="D550" s="26"/>
    </row>
    <row r="551" spans="3:4" x14ac:dyDescent="0.2">
      <c r="C551" s="26"/>
      <c r="D551" s="26"/>
    </row>
    <row r="552" spans="3:4" x14ac:dyDescent="0.2">
      <c r="C552" s="26"/>
      <c r="D552" s="26"/>
    </row>
    <row r="553" spans="3:4" x14ac:dyDescent="0.2">
      <c r="C553" s="26"/>
      <c r="D553" s="26"/>
    </row>
    <row r="554" spans="3:4" x14ac:dyDescent="0.2">
      <c r="C554" s="26"/>
      <c r="D554" s="26"/>
    </row>
    <row r="555" spans="3:4" x14ac:dyDescent="0.2">
      <c r="C555" s="26"/>
      <c r="D555" s="26"/>
    </row>
    <row r="556" spans="3:4" x14ac:dyDescent="0.2">
      <c r="C556" s="26"/>
      <c r="D556" s="26"/>
    </row>
    <row r="557" spans="3:4" x14ac:dyDescent="0.2">
      <c r="C557" s="26"/>
      <c r="D557" s="26"/>
    </row>
    <row r="558" spans="3:4" x14ac:dyDescent="0.2">
      <c r="C558" s="26"/>
      <c r="D558" s="26"/>
    </row>
    <row r="559" spans="3:4" x14ac:dyDescent="0.2">
      <c r="C559" s="26"/>
      <c r="D559" s="26"/>
    </row>
    <row r="560" spans="3:4" x14ac:dyDescent="0.2">
      <c r="C560" s="26"/>
      <c r="D560" s="26"/>
    </row>
    <row r="561" spans="3:4" x14ac:dyDescent="0.2">
      <c r="C561" s="26"/>
      <c r="D561" s="26"/>
    </row>
    <row r="562" spans="3:4" x14ac:dyDescent="0.2">
      <c r="C562" s="26"/>
      <c r="D562" s="26"/>
    </row>
    <row r="563" spans="3:4" x14ac:dyDescent="0.2">
      <c r="C563" s="26"/>
      <c r="D563" s="26"/>
    </row>
    <row r="564" spans="3:4" x14ac:dyDescent="0.2">
      <c r="C564" s="26"/>
      <c r="D564" s="26"/>
    </row>
    <row r="565" spans="3:4" x14ac:dyDescent="0.2">
      <c r="C565" s="26"/>
      <c r="D565" s="26"/>
    </row>
    <row r="566" spans="3:4" x14ac:dyDescent="0.2">
      <c r="C566" s="26"/>
      <c r="D566" s="26"/>
    </row>
    <row r="567" spans="3:4" x14ac:dyDescent="0.2">
      <c r="C567" s="26"/>
      <c r="D567" s="26"/>
    </row>
    <row r="568" spans="3:4" x14ac:dyDescent="0.2">
      <c r="C568" s="26"/>
      <c r="D568" s="26"/>
    </row>
    <row r="569" spans="3:4" x14ac:dyDescent="0.2">
      <c r="C569" s="26"/>
      <c r="D569" s="26"/>
    </row>
    <row r="570" spans="3:4" x14ac:dyDescent="0.2">
      <c r="C570" s="26"/>
      <c r="D570" s="26"/>
    </row>
    <row r="571" spans="3:4" x14ac:dyDescent="0.2">
      <c r="C571" s="26"/>
      <c r="D571" s="26"/>
    </row>
    <row r="572" spans="3:4" x14ac:dyDescent="0.2">
      <c r="C572" s="26"/>
      <c r="D572" s="26"/>
    </row>
    <row r="573" spans="3:4" x14ac:dyDescent="0.2">
      <c r="C573" s="26"/>
      <c r="D573" s="26"/>
    </row>
    <row r="574" spans="3:4" x14ac:dyDescent="0.2">
      <c r="C574" s="26"/>
      <c r="D574" s="26"/>
    </row>
    <row r="575" spans="3:4" x14ac:dyDescent="0.2">
      <c r="C575" s="26"/>
      <c r="D575" s="26"/>
    </row>
    <row r="576" spans="3:4" x14ac:dyDescent="0.2">
      <c r="C576" s="26"/>
      <c r="D576" s="26"/>
    </row>
    <row r="577" spans="3:4" x14ac:dyDescent="0.2">
      <c r="C577" s="26"/>
      <c r="D577" s="26"/>
    </row>
    <row r="578" spans="3:4" x14ac:dyDescent="0.2">
      <c r="C578" s="26"/>
      <c r="D578" s="26"/>
    </row>
    <row r="579" spans="3:4" x14ac:dyDescent="0.2">
      <c r="C579" s="26"/>
      <c r="D579" s="26"/>
    </row>
    <row r="580" spans="3:4" x14ac:dyDescent="0.2">
      <c r="C580" s="26"/>
      <c r="D580" s="26"/>
    </row>
    <row r="581" spans="3:4" x14ac:dyDescent="0.2">
      <c r="C581" s="26"/>
      <c r="D581" s="26"/>
    </row>
    <row r="582" spans="3:4" x14ac:dyDescent="0.2">
      <c r="C582" s="26"/>
      <c r="D582" s="26"/>
    </row>
    <row r="583" spans="3:4" x14ac:dyDescent="0.2">
      <c r="C583" s="26"/>
      <c r="D583" s="26"/>
    </row>
    <row r="584" spans="3:4" x14ac:dyDescent="0.2">
      <c r="C584" s="26"/>
      <c r="D584" s="26"/>
    </row>
    <row r="585" spans="3:4" x14ac:dyDescent="0.2">
      <c r="C585" s="26"/>
      <c r="D585" s="26"/>
    </row>
    <row r="586" spans="3:4" x14ac:dyDescent="0.2">
      <c r="C586" s="26"/>
      <c r="D586" s="26"/>
    </row>
    <row r="587" spans="3:4" x14ac:dyDescent="0.2">
      <c r="C587" s="26"/>
      <c r="D587" s="26"/>
    </row>
    <row r="588" spans="3:4" x14ac:dyDescent="0.2">
      <c r="C588" s="26"/>
      <c r="D588" s="26"/>
    </row>
    <row r="589" spans="3:4" x14ac:dyDescent="0.2">
      <c r="C589" s="26"/>
      <c r="D589" s="26"/>
    </row>
    <row r="590" spans="3:4" x14ac:dyDescent="0.2">
      <c r="C590" s="26"/>
      <c r="D590" s="26"/>
    </row>
    <row r="591" spans="3:4" x14ac:dyDescent="0.2">
      <c r="C591" s="26"/>
      <c r="D591" s="26"/>
    </row>
    <row r="592" spans="3:4" x14ac:dyDescent="0.2">
      <c r="C592" s="26"/>
      <c r="D592" s="26"/>
    </row>
    <row r="593" spans="3:4" x14ac:dyDescent="0.2">
      <c r="C593" s="26"/>
      <c r="D593" s="26"/>
    </row>
    <row r="594" spans="3:4" x14ac:dyDescent="0.2">
      <c r="C594" s="26"/>
      <c r="D594" s="26"/>
    </row>
    <row r="595" spans="3:4" x14ac:dyDescent="0.2">
      <c r="C595" s="26"/>
      <c r="D595" s="26"/>
    </row>
    <row r="596" spans="3:4" x14ac:dyDescent="0.2">
      <c r="C596" s="26"/>
      <c r="D596" s="26"/>
    </row>
    <row r="597" spans="3:4" x14ac:dyDescent="0.2">
      <c r="C597" s="26"/>
      <c r="D597" s="26"/>
    </row>
    <row r="598" spans="3:4" x14ac:dyDescent="0.2">
      <c r="C598" s="26"/>
      <c r="D598" s="26"/>
    </row>
    <row r="599" spans="3:4" x14ac:dyDescent="0.2">
      <c r="C599" s="26"/>
      <c r="D599" s="26"/>
    </row>
    <row r="600" spans="3:4" x14ac:dyDescent="0.2">
      <c r="C600" s="26"/>
      <c r="D600" s="26"/>
    </row>
    <row r="601" spans="3:4" x14ac:dyDescent="0.2">
      <c r="C601" s="26"/>
      <c r="D601" s="26"/>
    </row>
    <row r="602" spans="3:4" x14ac:dyDescent="0.2">
      <c r="C602" s="26"/>
      <c r="D602" s="26"/>
    </row>
    <row r="603" spans="3:4" x14ac:dyDescent="0.2">
      <c r="C603" s="26"/>
      <c r="D603" s="26"/>
    </row>
    <row r="604" spans="3:4" x14ac:dyDescent="0.2">
      <c r="C604" s="26"/>
      <c r="D604" s="26"/>
    </row>
    <row r="605" spans="3:4" x14ac:dyDescent="0.2">
      <c r="C605" s="26"/>
      <c r="D605" s="26"/>
    </row>
    <row r="606" spans="3:4" x14ac:dyDescent="0.2">
      <c r="C606" s="26"/>
      <c r="D606" s="26"/>
    </row>
    <row r="607" spans="3:4" x14ac:dyDescent="0.2">
      <c r="C607" s="26"/>
      <c r="D607" s="26"/>
    </row>
    <row r="608" spans="3:4" x14ac:dyDescent="0.2">
      <c r="C608" s="26"/>
      <c r="D608" s="26"/>
    </row>
    <row r="609" spans="3:4" x14ac:dyDescent="0.2">
      <c r="C609" s="26"/>
      <c r="D609" s="26"/>
    </row>
    <row r="610" spans="3:4" x14ac:dyDescent="0.2">
      <c r="C610" s="26"/>
      <c r="D610" s="26"/>
    </row>
    <row r="611" spans="3:4" x14ac:dyDescent="0.2">
      <c r="C611" s="26"/>
      <c r="D611" s="26"/>
    </row>
    <row r="612" spans="3:4" x14ac:dyDescent="0.2">
      <c r="C612" s="26"/>
      <c r="D612" s="26"/>
    </row>
    <row r="613" spans="3:4" x14ac:dyDescent="0.2">
      <c r="C613" s="26"/>
      <c r="D613" s="26"/>
    </row>
    <row r="614" spans="3:4" x14ac:dyDescent="0.2">
      <c r="C614" s="26"/>
      <c r="D614" s="26"/>
    </row>
    <row r="615" spans="3:4" x14ac:dyDescent="0.2">
      <c r="C615" s="26"/>
      <c r="D615" s="26"/>
    </row>
    <row r="616" spans="3:4" x14ac:dyDescent="0.2">
      <c r="C616" s="26"/>
      <c r="D616" s="26"/>
    </row>
    <row r="617" spans="3:4" x14ac:dyDescent="0.2">
      <c r="C617" s="26"/>
      <c r="D617" s="26"/>
    </row>
    <row r="618" spans="3:4" x14ac:dyDescent="0.2">
      <c r="C618" s="26"/>
      <c r="D618" s="26"/>
    </row>
    <row r="619" spans="3:4" x14ac:dyDescent="0.2">
      <c r="C619" s="26"/>
      <c r="D619" s="26"/>
    </row>
    <row r="620" spans="3:4" x14ac:dyDescent="0.2">
      <c r="C620" s="26"/>
      <c r="D620" s="26"/>
    </row>
    <row r="621" spans="3:4" x14ac:dyDescent="0.2">
      <c r="C621" s="26"/>
      <c r="D621" s="26"/>
    </row>
    <row r="622" spans="3:4" x14ac:dyDescent="0.2">
      <c r="C622" s="26"/>
      <c r="D622" s="26"/>
    </row>
    <row r="623" spans="3:4" x14ac:dyDescent="0.2">
      <c r="C623" s="26"/>
      <c r="D623" s="26"/>
    </row>
    <row r="624" spans="3:4" x14ac:dyDescent="0.2">
      <c r="C624" s="26"/>
      <c r="D624" s="26"/>
    </row>
    <row r="625" spans="3:4" x14ac:dyDescent="0.2">
      <c r="C625" s="26"/>
      <c r="D625" s="26"/>
    </row>
    <row r="626" spans="3:4" x14ac:dyDescent="0.2">
      <c r="C626" s="26"/>
      <c r="D626" s="26"/>
    </row>
    <row r="627" spans="3:4" x14ac:dyDescent="0.2">
      <c r="C627" s="26"/>
      <c r="D627" s="26"/>
    </row>
    <row r="628" spans="3:4" x14ac:dyDescent="0.2">
      <c r="C628" s="26"/>
      <c r="D628" s="26"/>
    </row>
    <row r="629" spans="3:4" x14ac:dyDescent="0.2">
      <c r="C629" s="26"/>
      <c r="D629" s="26"/>
    </row>
    <row r="630" spans="3:4" x14ac:dyDescent="0.2">
      <c r="C630" s="26"/>
      <c r="D630" s="26"/>
    </row>
    <row r="631" spans="3:4" x14ac:dyDescent="0.2">
      <c r="C631" s="26"/>
      <c r="D631" s="26"/>
    </row>
    <row r="632" spans="3:4" x14ac:dyDescent="0.2">
      <c r="C632" s="26"/>
      <c r="D632" s="26"/>
    </row>
    <row r="633" spans="3:4" x14ac:dyDescent="0.2">
      <c r="C633" s="26"/>
      <c r="D633" s="26"/>
    </row>
    <row r="634" spans="3:4" x14ac:dyDescent="0.2">
      <c r="C634" s="26"/>
      <c r="D634" s="26"/>
    </row>
    <row r="635" spans="3:4" x14ac:dyDescent="0.2">
      <c r="C635" s="26"/>
      <c r="D635" s="26"/>
    </row>
    <row r="636" spans="3:4" x14ac:dyDescent="0.2">
      <c r="C636" s="26"/>
      <c r="D636" s="26"/>
    </row>
    <row r="637" spans="3:4" x14ac:dyDescent="0.2">
      <c r="C637" s="26"/>
      <c r="D637" s="26"/>
    </row>
    <row r="638" spans="3:4" x14ac:dyDescent="0.2">
      <c r="C638" s="26"/>
      <c r="D638" s="26"/>
    </row>
    <row r="639" spans="3:4" x14ac:dyDescent="0.2">
      <c r="C639" s="26"/>
      <c r="D639" s="26"/>
    </row>
    <row r="640" spans="3:4" x14ac:dyDescent="0.2">
      <c r="C640" s="26"/>
      <c r="D640" s="26"/>
    </row>
    <row r="641" spans="3:4" x14ac:dyDescent="0.2">
      <c r="C641" s="26"/>
      <c r="D641" s="26"/>
    </row>
    <row r="642" spans="3:4" x14ac:dyDescent="0.2">
      <c r="C642" s="26"/>
      <c r="D642" s="26"/>
    </row>
    <row r="643" spans="3:4" x14ac:dyDescent="0.2">
      <c r="C643" s="26"/>
      <c r="D643" s="26"/>
    </row>
    <row r="644" spans="3:4" x14ac:dyDescent="0.2">
      <c r="C644" s="26"/>
      <c r="D644" s="26"/>
    </row>
    <row r="645" spans="3:4" x14ac:dyDescent="0.2">
      <c r="C645" s="26"/>
      <c r="D645" s="26"/>
    </row>
    <row r="646" spans="3:4" x14ac:dyDescent="0.2">
      <c r="C646" s="26"/>
      <c r="D646" s="26"/>
    </row>
    <row r="647" spans="3:4" x14ac:dyDescent="0.2">
      <c r="C647" s="26"/>
      <c r="D647" s="26"/>
    </row>
    <row r="648" spans="3:4" x14ac:dyDescent="0.2">
      <c r="C648" s="26"/>
      <c r="D648" s="26"/>
    </row>
    <row r="649" spans="3:4" x14ac:dyDescent="0.2">
      <c r="C649" s="26"/>
      <c r="D649" s="26"/>
    </row>
    <row r="650" spans="3:4" x14ac:dyDescent="0.2">
      <c r="C650" s="26"/>
      <c r="D650" s="26"/>
    </row>
    <row r="651" spans="3:4" x14ac:dyDescent="0.2">
      <c r="C651" s="26"/>
      <c r="D651" s="26"/>
    </row>
    <row r="652" spans="3:4" x14ac:dyDescent="0.2">
      <c r="C652" s="26"/>
      <c r="D652" s="26"/>
    </row>
    <row r="653" spans="3:4" x14ac:dyDescent="0.2">
      <c r="C653" s="26"/>
      <c r="D653" s="26"/>
    </row>
    <row r="654" spans="3:4" x14ac:dyDescent="0.2">
      <c r="C654" s="26"/>
      <c r="D654" s="26"/>
    </row>
    <row r="655" spans="3:4" x14ac:dyDescent="0.2">
      <c r="C655" s="26"/>
      <c r="D655" s="26"/>
    </row>
    <row r="656" spans="3:4" x14ac:dyDescent="0.2">
      <c r="C656" s="26"/>
      <c r="D656" s="26"/>
    </row>
    <row r="657" spans="3:4" x14ac:dyDescent="0.2">
      <c r="C657" s="26"/>
      <c r="D657" s="26"/>
    </row>
    <row r="658" spans="3:4" x14ac:dyDescent="0.2">
      <c r="C658" s="26"/>
      <c r="D658" s="26"/>
    </row>
    <row r="659" spans="3:4" x14ac:dyDescent="0.2">
      <c r="C659" s="26"/>
      <c r="D659" s="26"/>
    </row>
    <row r="660" spans="3:4" x14ac:dyDescent="0.2">
      <c r="C660" s="26"/>
      <c r="D660" s="26"/>
    </row>
    <row r="661" spans="3:4" x14ac:dyDescent="0.2">
      <c r="C661" s="26"/>
      <c r="D661" s="26"/>
    </row>
    <row r="662" spans="3:4" x14ac:dyDescent="0.2">
      <c r="C662" s="26"/>
      <c r="D662" s="26"/>
    </row>
    <row r="663" spans="3:4" x14ac:dyDescent="0.2">
      <c r="C663" s="26"/>
      <c r="D663" s="26"/>
    </row>
    <row r="664" spans="3:4" x14ac:dyDescent="0.2">
      <c r="C664" s="26"/>
      <c r="D664" s="26"/>
    </row>
    <row r="665" spans="3:4" x14ac:dyDescent="0.2">
      <c r="C665" s="26"/>
      <c r="D665" s="26"/>
    </row>
    <row r="666" spans="3:4" x14ac:dyDescent="0.2">
      <c r="C666" s="26"/>
      <c r="D666" s="26"/>
    </row>
    <row r="667" spans="3:4" x14ac:dyDescent="0.2">
      <c r="C667" s="26"/>
      <c r="D667" s="26"/>
    </row>
    <row r="668" spans="3:4" x14ac:dyDescent="0.2">
      <c r="C668" s="26"/>
      <c r="D668" s="26"/>
    </row>
    <row r="669" spans="3:4" x14ac:dyDescent="0.2">
      <c r="C669" s="26"/>
      <c r="D669" s="26"/>
    </row>
    <row r="670" spans="3:4" x14ac:dyDescent="0.2">
      <c r="C670" s="26"/>
      <c r="D670" s="26"/>
    </row>
    <row r="671" spans="3:4" x14ac:dyDescent="0.2">
      <c r="C671" s="26"/>
      <c r="D671" s="26"/>
    </row>
    <row r="672" spans="3:4" x14ac:dyDescent="0.2">
      <c r="C672" s="26"/>
      <c r="D672" s="26"/>
    </row>
    <row r="673" spans="3:4" x14ac:dyDescent="0.2">
      <c r="C673" s="26"/>
      <c r="D673" s="26"/>
    </row>
    <row r="674" spans="3:4" x14ac:dyDescent="0.2">
      <c r="C674" s="26"/>
      <c r="D674" s="26"/>
    </row>
    <row r="675" spans="3:4" x14ac:dyDescent="0.2">
      <c r="C675" s="26"/>
      <c r="D675" s="26"/>
    </row>
    <row r="676" spans="3:4" x14ac:dyDescent="0.2">
      <c r="C676" s="26"/>
      <c r="D676" s="26"/>
    </row>
    <row r="677" spans="3:4" x14ac:dyDescent="0.2">
      <c r="C677" s="26"/>
      <c r="D677" s="26"/>
    </row>
    <row r="678" spans="3:4" x14ac:dyDescent="0.2">
      <c r="C678" s="26"/>
      <c r="D678" s="26"/>
    </row>
    <row r="679" spans="3:4" x14ac:dyDescent="0.2">
      <c r="C679" s="26"/>
      <c r="D679" s="26"/>
    </row>
    <row r="680" spans="3:4" x14ac:dyDescent="0.2">
      <c r="C680" s="26"/>
      <c r="D680" s="26"/>
    </row>
    <row r="681" spans="3:4" x14ac:dyDescent="0.2">
      <c r="C681" s="26"/>
      <c r="D681" s="26"/>
    </row>
    <row r="682" spans="3:4" x14ac:dyDescent="0.2">
      <c r="C682" s="26"/>
      <c r="D682" s="26"/>
    </row>
    <row r="683" spans="3:4" x14ac:dyDescent="0.2">
      <c r="C683" s="26"/>
      <c r="D683" s="26"/>
    </row>
    <row r="684" spans="3:4" x14ac:dyDescent="0.2">
      <c r="C684" s="26"/>
      <c r="D684" s="26"/>
    </row>
    <row r="685" spans="3:4" x14ac:dyDescent="0.2">
      <c r="C685" s="26"/>
      <c r="D685" s="26"/>
    </row>
    <row r="686" spans="3:4" x14ac:dyDescent="0.2">
      <c r="C686" s="26"/>
      <c r="D686" s="26"/>
    </row>
    <row r="687" spans="3:4" x14ac:dyDescent="0.2">
      <c r="C687" s="26"/>
      <c r="D687" s="26"/>
    </row>
    <row r="688" spans="3:4" x14ac:dyDescent="0.2">
      <c r="C688" s="26"/>
      <c r="D688" s="26"/>
    </row>
    <row r="689" spans="3:4" x14ac:dyDescent="0.2">
      <c r="C689" s="26"/>
      <c r="D689" s="26"/>
    </row>
    <row r="690" spans="3:4" x14ac:dyDescent="0.2">
      <c r="C690" s="26"/>
      <c r="D690" s="26"/>
    </row>
    <row r="691" spans="3:4" x14ac:dyDescent="0.2">
      <c r="C691" s="26"/>
      <c r="D691" s="26"/>
    </row>
    <row r="692" spans="3:4" x14ac:dyDescent="0.2">
      <c r="C692" s="26"/>
      <c r="D692" s="26"/>
    </row>
    <row r="693" spans="3:4" x14ac:dyDescent="0.2">
      <c r="C693" s="26"/>
      <c r="D693" s="26"/>
    </row>
    <row r="694" spans="3:4" x14ac:dyDescent="0.2">
      <c r="C694" s="26"/>
      <c r="D694" s="26"/>
    </row>
    <row r="695" spans="3:4" x14ac:dyDescent="0.2">
      <c r="C695" s="26"/>
      <c r="D695" s="26"/>
    </row>
    <row r="696" spans="3:4" x14ac:dyDescent="0.2">
      <c r="C696" s="26"/>
      <c r="D696" s="26"/>
    </row>
    <row r="697" spans="3:4" x14ac:dyDescent="0.2">
      <c r="C697" s="26"/>
      <c r="D697" s="26"/>
    </row>
    <row r="698" spans="3:4" x14ac:dyDescent="0.2">
      <c r="C698" s="26"/>
      <c r="D698" s="26"/>
    </row>
    <row r="699" spans="3:4" x14ac:dyDescent="0.2">
      <c r="C699" s="26"/>
      <c r="D699" s="26"/>
    </row>
    <row r="700" spans="3:4" x14ac:dyDescent="0.2">
      <c r="C700" s="26"/>
      <c r="D700" s="26"/>
    </row>
    <row r="701" spans="3:4" x14ac:dyDescent="0.2">
      <c r="C701" s="26"/>
      <c r="D701" s="26"/>
    </row>
    <row r="702" spans="3:4" x14ac:dyDescent="0.2">
      <c r="C702" s="26"/>
      <c r="D702" s="26"/>
    </row>
    <row r="703" spans="3:4" x14ac:dyDescent="0.2">
      <c r="C703" s="26"/>
      <c r="D703" s="26"/>
    </row>
    <row r="704" spans="3:4" x14ac:dyDescent="0.2">
      <c r="C704" s="26"/>
      <c r="D704" s="26"/>
    </row>
    <row r="705" spans="3:4" x14ac:dyDescent="0.2">
      <c r="C705" s="26"/>
      <c r="D705" s="26"/>
    </row>
    <row r="706" spans="3:4" x14ac:dyDescent="0.2">
      <c r="C706" s="26"/>
      <c r="D706" s="26"/>
    </row>
    <row r="707" spans="3:4" x14ac:dyDescent="0.2">
      <c r="C707" s="26"/>
      <c r="D707" s="26"/>
    </row>
    <row r="708" spans="3:4" x14ac:dyDescent="0.2">
      <c r="C708" s="26"/>
      <c r="D708" s="26"/>
    </row>
    <row r="709" spans="3:4" x14ac:dyDescent="0.2">
      <c r="C709" s="26"/>
      <c r="D709" s="26"/>
    </row>
    <row r="710" spans="3:4" x14ac:dyDescent="0.2">
      <c r="C710" s="26"/>
      <c r="D710" s="26"/>
    </row>
    <row r="711" spans="3:4" x14ac:dyDescent="0.2">
      <c r="C711" s="26"/>
      <c r="D711" s="26"/>
    </row>
    <row r="712" spans="3:4" x14ac:dyDescent="0.2">
      <c r="C712" s="26"/>
      <c r="D712" s="26"/>
    </row>
    <row r="713" spans="3:4" x14ac:dyDescent="0.2">
      <c r="C713" s="26"/>
      <c r="D713" s="26"/>
    </row>
    <row r="714" spans="3:4" x14ac:dyDescent="0.2">
      <c r="C714" s="26"/>
      <c r="D714" s="26"/>
    </row>
    <row r="715" spans="3:4" x14ac:dyDescent="0.2">
      <c r="C715" s="26"/>
      <c r="D715" s="26"/>
    </row>
    <row r="716" spans="3:4" x14ac:dyDescent="0.2">
      <c r="C716" s="26"/>
      <c r="D716" s="26"/>
    </row>
    <row r="717" spans="3:4" x14ac:dyDescent="0.2">
      <c r="C717" s="26"/>
      <c r="D717" s="26"/>
    </row>
    <row r="718" spans="3:4" x14ac:dyDescent="0.2">
      <c r="C718" s="26"/>
      <c r="D718" s="26"/>
    </row>
    <row r="719" spans="3:4" x14ac:dyDescent="0.2">
      <c r="C719" s="26"/>
      <c r="D719" s="26"/>
    </row>
    <row r="720" spans="3:4" x14ac:dyDescent="0.2">
      <c r="C720" s="26"/>
      <c r="D720" s="26"/>
    </row>
    <row r="721" spans="3:4" x14ac:dyDescent="0.2">
      <c r="C721" s="26"/>
      <c r="D721" s="26"/>
    </row>
    <row r="722" spans="3:4" x14ac:dyDescent="0.2">
      <c r="C722" s="26"/>
      <c r="D722" s="26"/>
    </row>
    <row r="723" spans="3:4" x14ac:dyDescent="0.2">
      <c r="C723" s="26"/>
      <c r="D723" s="26"/>
    </row>
    <row r="724" spans="3:4" x14ac:dyDescent="0.2">
      <c r="C724" s="26"/>
      <c r="D724" s="26"/>
    </row>
    <row r="725" spans="3:4" x14ac:dyDescent="0.2">
      <c r="C725" s="26"/>
      <c r="D725" s="26"/>
    </row>
    <row r="726" spans="3:4" x14ac:dyDescent="0.2">
      <c r="C726" s="26"/>
      <c r="D726" s="26"/>
    </row>
    <row r="727" spans="3:4" x14ac:dyDescent="0.2">
      <c r="C727" s="26"/>
      <c r="D727" s="26"/>
    </row>
    <row r="728" spans="3:4" x14ac:dyDescent="0.2">
      <c r="C728" s="26"/>
      <c r="D728" s="26"/>
    </row>
    <row r="729" spans="3:4" x14ac:dyDescent="0.2">
      <c r="C729" s="26"/>
      <c r="D729" s="26"/>
    </row>
    <row r="730" spans="3:4" x14ac:dyDescent="0.2">
      <c r="C730" s="26"/>
      <c r="D730" s="26"/>
    </row>
    <row r="731" spans="3:4" x14ac:dyDescent="0.2">
      <c r="C731" s="26"/>
      <c r="D731" s="26"/>
    </row>
    <row r="732" spans="3:4" x14ac:dyDescent="0.2">
      <c r="C732" s="26"/>
      <c r="D732" s="26"/>
    </row>
    <row r="733" spans="3:4" x14ac:dyDescent="0.2">
      <c r="C733" s="26"/>
      <c r="D733" s="26"/>
    </row>
    <row r="734" spans="3:4" x14ac:dyDescent="0.2">
      <c r="C734" s="26"/>
      <c r="D734" s="26"/>
    </row>
    <row r="735" spans="3:4" x14ac:dyDescent="0.2">
      <c r="C735" s="26"/>
      <c r="D735" s="26"/>
    </row>
    <row r="736" spans="3:4" x14ac:dyDescent="0.2">
      <c r="C736" s="26"/>
      <c r="D736" s="26"/>
    </row>
    <row r="737" spans="3:4" x14ac:dyDescent="0.2">
      <c r="C737" s="26"/>
      <c r="D737" s="26"/>
    </row>
    <row r="738" spans="3:4" x14ac:dyDescent="0.2">
      <c r="C738" s="26"/>
      <c r="D738" s="26"/>
    </row>
    <row r="739" spans="3:4" x14ac:dyDescent="0.2">
      <c r="C739" s="26"/>
      <c r="D739" s="26"/>
    </row>
    <row r="740" spans="3:4" x14ac:dyDescent="0.2">
      <c r="C740" s="26"/>
      <c r="D740" s="26"/>
    </row>
    <row r="741" spans="3:4" x14ac:dyDescent="0.2">
      <c r="C741" s="26"/>
      <c r="D741" s="26"/>
    </row>
    <row r="742" spans="3:4" x14ac:dyDescent="0.2">
      <c r="C742" s="26"/>
      <c r="D742" s="26"/>
    </row>
    <row r="743" spans="3:4" x14ac:dyDescent="0.2">
      <c r="C743" s="26"/>
      <c r="D743" s="26"/>
    </row>
    <row r="744" spans="3:4" x14ac:dyDescent="0.2">
      <c r="C744" s="26"/>
      <c r="D744" s="26"/>
    </row>
    <row r="745" spans="3:4" x14ac:dyDescent="0.2">
      <c r="C745" s="26"/>
      <c r="D745" s="26"/>
    </row>
    <row r="746" spans="3:4" x14ac:dyDescent="0.2">
      <c r="C746" s="26"/>
      <c r="D746" s="26"/>
    </row>
    <row r="747" spans="3:4" x14ac:dyDescent="0.2">
      <c r="C747" s="26"/>
      <c r="D747" s="26"/>
    </row>
    <row r="748" spans="3:4" x14ac:dyDescent="0.2">
      <c r="C748" s="26"/>
      <c r="D748" s="26"/>
    </row>
    <row r="749" spans="3:4" x14ac:dyDescent="0.2">
      <c r="C749" s="26"/>
      <c r="D749" s="26"/>
    </row>
    <row r="750" spans="3:4" x14ac:dyDescent="0.2">
      <c r="C750" s="26"/>
      <c r="D750" s="26"/>
    </row>
    <row r="751" spans="3:4" x14ac:dyDescent="0.2">
      <c r="C751" s="26"/>
      <c r="D751" s="26"/>
    </row>
    <row r="752" spans="3:4" x14ac:dyDescent="0.2">
      <c r="C752" s="26"/>
      <c r="D752" s="26"/>
    </row>
    <row r="753" spans="3:4" x14ac:dyDescent="0.2">
      <c r="C753" s="26"/>
      <c r="D753" s="26"/>
    </row>
    <row r="754" spans="3:4" x14ac:dyDescent="0.2">
      <c r="C754" s="26"/>
      <c r="D754" s="26"/>
    </row>
    <row r="755" spans="3:4" x14ac:dyDescent="0.2">
      <c r="C755" s="26"/>
      <c r="D755" s="26"/>
    </row>
    <row r="756" spans="3:4" x14ac:dyDescent="0.2">
      <c r="C756" s="26"/>
      <c r="D756" s="26"/>
    </row>
    <row r="757" spans="3:4" x14ac:dyDescent="0.2">
      <c r="C757" s="26"/>
      <c r="D757" s="26"/>
    </row>
    <row r="758" spans="3:4" x14ac:dyDescent="0.2">
      <c r="C758" s="26"/>
      <c r="D758" s="26"/>
    </row>
    <row r="759" spans="3:4" x14ac:dyDescent="0.2">
      <c r="C759" s="26"/>
      <c r="D759" s="26"/>
    </row>
    <row r="760" spans="3:4" x14ac:dyDescent="0.2">
      <c r="C760" s="26"/>
      <c r="D760" s="26"/>
    </row>
    <row r="761" spans="3:4" x14ac:dyDescent="0.2">
      <c r="C761" s="26"/>
      <c r="D761" s="26"/>
    </row>
    <row r="762" spans="3:4" x14ac:dyDescent="0.2">
      <c r="C762" s="26"/>
      <c r="D762" s="26"/>
    </row>
    <row r="763" spans="3:4" x14ac:dyDescent="0.2">
      <c r="C763" s="26"/>
      <c r="D763" s="26"/>
    </row>
    <row r="764" spans="3:4" x14ac:dyDescent="0.2">
      <c r="C764" s="26"/>
      <c r="D764" s="26"/>
    </row>
    <row r="765" spans="3:4" x14ac:dyDescent="0.2">
      <c r="C765" s="26"/>
      <c r="D765" s="26"/>
    </row>
    <row r="766" spans="3:4" x14ac:dyDescent="0.2">
      <c r="C766" s="26"/>
      <c r="D766" s="26"/>
    </row>
    <row r="767" spans="3:4" x14ac:dyDescent="0.2">
      <c r="C767" s="26"/>
      <c r="D767" s="26"/>
    </row>
    <row r="768" spans="3:4" x14ac:dyDescent="0.2">
      <c r="C768" s="26"/>
      <c r="D768" s="26"/>
    </row>
    <row r="769" spans="3:4" x14ac:dyDescent="0.2">
      <c r="C769" s="26"/>
      <c r="D769" s="26"/>
    </row>
    <row r="770" spans="3:4" x14ac:dyDescent="0.2">
      <c r="C770" s="26"/>
      <c r="D770" s="26"/>
    </row>
    <row r="771" spans="3:4" x14ac:dyDescent="0.2">
      <c r="C771" s="26"/>
      <c r="D771" s="26"/>
    </row>
    <row r="772" spans="3:4" x14ac:dyDescent="0.2">
      <c r="C772" s="26"/>
      <c r="D772" s="26"/>
    </row>
    <row r="773" spans="3:4" x14ac:dyDescent="0.2">
      <c r="C773" s="26"/>
      <c r="D773" s="26"/>
    </row>
    <row r="774" spans="3:4" x14ac:dyDescent="0.2">
      <c r="C774" s="26"/>
      <c r="D774" s="26"/>
    </row>
    <row r="775" spans="3:4" x14ac:dyDescent="0.2">
      <c r="C775" s="26"/>
      <c r="D775" s="26"/>
    </row>
    <row r="776" spans="3:4" x14ac:dyDescent="0.2">
      <c r="C776" s="26"/>
      <c r="D776" s="26"/>
    </row>
    <row r="777" spans="3:4" x14ac:dyDescent="0.2">
      <c r="C777" s="26"/>
      <c r="D777" s="26"/>
    </row>
    <row r="778" spans="3:4" x14ac:dyDescent="0.2">
      <c r="C778" s="26"/>
      <c r="D778" s="26"/>
    </row>
    <row r="779" spans="3:4" x14ac:dyDescent="0.2">
      <c r="C779" s="26"/>
      <c r="D779" s="26"/>
    </row>
    <row r="780" spans="3:4" x14ac:dyDescent="0.2">
      <c r="C780" s="26"/>
      <c r="D780" s="26"/>
    </row>
    <row r="781" spans="3:4" x14ac:dyDescent="0.2">
      <c r="C781" s="26"/>
      <c r="D781" s="26"/>
    </row>
    <row r="782" spans="3:4" x14ac:dyDescent="0.2">
      <c r="C782" s="26"/>
      <c r="D782" s="26"/>
    </row>
    <row r="783" spans="3:4" x14ac:dyDescent="0.2">
      <c r="C783" s="26"/>
      <c r="D783" s="26"/>
    </row>
    <row r="784" spans="3:4" x14ac:dyDescent="0.2">
      <c r="C784" s="26"/>
      <c r="D784" s="26"/>
    </row>
    <row r="785" spans="3:4" x14ac:dyDescent="0.2">
      <c r="C785" s="26"/>
      <c r="D785" s="26"/>
    </row>
    <row r="786" spans="3:4" x14ac:dyDescent="0.2">
      <c r="C786" s="26"/>
      <c r="D786" s="26"/>
    </row>
    <row r="787" spans="3:4" x14ac:dyDescent="0.2">
      <c r="C787" s="26"/>
      <c r="D787" s="26"/>
    </row>
    <row r="788" spans="3:4" x14ac:dyDescent="0.2">
      <c r="C788" s="26"/>
      <c r="D788" s="26"/>
    </row>
    <row r="789" spans="3:4" x14ac:dyDescent="0.2">
      <c r="C789" s="26"/>
      <c r="D789" s="26"/>
    </row>
    <row r="790" spans="3:4" x14ac:dyDescent="0.2">
      <c r="C790" s="26"/>
      <c r="D790" s="26"/>
    </row>
    <row r="791" spans="3:4" x14ac:dyDescent="0.2">
      <c r="C791" s="26"/>
      <c r="D791" s="26"/>
    </row>
    <row r="792" spans="3:4" x14ac:dyDescent="0.2">
      <c r="C792" s="26"/>
      <c r="D792" s="26"/>
    </row>
    <row r="793" spans="3:4" x14ac:dyDescent="0.2">
      <c r="C793" s="26"/>
      <c r="D793" s="26"/>
    </row>
    <row r="794" spans="3:4" x14ac:dyDescent="0.2">
      <c r="C794" s="26"/>
      <c r="D794" s="26"/>
    </row>
    <row r="795" spans="3:4" x14ac:dyDescent="0.2">
      <c r="C795" s="26"/>
      <c r="D795" s="26"/>
    </row>
    <row r="796" spans="3:4" x14ac:dyDescent="0.2">
      <c r="C796" s="26"/>
      <c r="D796" s="26"/>
    </row>
    <row r="797" spans="3:4" x14ac:dyDescent="0.2">
      <c r="C797" s="26"/>
      <c r="D797" s="26"/>
    </row>
    <row r="798" spans="3:4" x14ac:dyDescent="0.2">
      <c r="C798" s="26"/>
      <c r="D798" s="26"/>
    </row>
    <row r="799" spans="3:4" x14ac:dyDescent="0.2">
      <c r="C799" s="26"/>
      <c r="D799" s="26"/>
    </row>
    <row r="800" spans="3:4" x14ac:dyDescent="0.2">
      <c r="C800" s="26"/>
      <c r="D800" s="26"/>
    </row>
    <row r="801" spans="3:4" x14ac:dyDescent="0.2">
      <c r="C801" s="26"/>
      <c r="D801" s="26"/>
    </row>
    <row r="802" spans="3:4" x14ac:dyDescent="0.2">
      <c r="C802" s="26"/>
      <c r="D802" s="26"/>
    </row>
    <row r="803" spans="3:4" x14ac:dyDescent="0.2">
      <c r="C803" s="26"/>
      <c r="D803" s="26"/>
    </row>
    <row r="804" spans="3:4" x14ac:dyDescent="0.2">
      <c r="C804" s="26"/>
      <c r="D804" s="26"/>
    </row>
    <row r="805" spans="3:4" x14ac:dyDescent="0.2">
      <c r="C805" s="26"/>
      <c r="D805" s="26"/>
    </row>
    <row r="806" spans="3:4" x14ac:dyDescent="0.2">
      <c r="C806" s="26"/>
      <c r="D806" s="26"/>
    </row>
    <row r="807" spans="3:4" x14ac:dyDescent="0.2">
      <c r="C807" s="26"/>
      <c r="D807" s="26"/>
    </row>
    <row r="808" spans="3:4" x14ac:dyDescent="0.2">
      <c r="C808" s="26"/>
      <c r="D808" s="26"/>
    </row>
    <row r="809" spans="3:4" x14ac:dyDescent="0.2">
      <c r="C809" s="26"/>
      <c r="D809" s="26"/>
    </row>
    <row r="810" spans="3:4" x14ac:dyDescent="0.2">
      <c r="C810" s="26"/>
      <c r="D810" s="26"/>
    </row>
    <row r="811" spans="3:4" x14ac:dyDescent="0.2">
      <c r="C811" s="26"/>
      <c r="D811" s="26"/>
    </row>
    <row r="812" spans="3:4" x14ac:dyDescent="0.2">
      <c r="C812" s="26"/>
      <c r="D812" s="26"/>
    </row>
    <row r="813" spans="3:4" x14ac:dyDescent="0.2">
      <c r="C813" s="26"/>
      <c r="D813" s="26"/>
    </row>
    <row r="814" spans="3:4" x14ac:dyDescent="0.2">
      <c r="C814" s="26"/>
      <c r="D814" s="26"/>
    </row>
    <row r="815" spans="3:4" x14ac:dyDescent="0.2">
      <c r="C815" s="26"/>
      <c r="D815" s="26"/>
    </row>
    <row r="816" spans="3:4" x14ac:dyDescent="0.2">
      <c r="C816" s="26"/>
      <c r="D816" s="26"/>
    </row>
    <row r="817" spans="3:4" x14ac:dyDescent="0.2">
      <c r="C817" s="26"/>
      <c r="D817" s="26"/>
    </row>
    <row r="818" spans="3:4" x14ac:dyDescent="0.2">
      <c r="C818" s="26"/>
      <c r="D818" s="26"/>
    </row>
    <row r="819" spans="3:4" x14ac:dyDescent="0.2">
      <c r="C819" s="26"/>
      <c r="D819" s="26"/>
    </row>
    <row r="820" spans="3:4" x14ac:dyDescent="0.2">
      <c r="C820" s="26"/>
      <c r="D820" s="26"/>
    </row>
    <row r="821" spans="3:4" x14ac:dyDescent="0.2">
      <c r="C821" s="26"/>
      <c r="D821" s="26"/>
    </row>
    <row r="822" spans="3:4" x14ac:dyDescent="0.2">
      <c r="C822" s="26"/>
      <c r="D822" s="26"/>
    </row>
    <row r="823" spans="3:4" x14ac:dyDescent="0.2">
      <c r="C823" s="26"/>
      <c r="D823" s="26"/>
    </row>
    <row r="824" spans="3:4" x14ac:dyDescent="0.2">
      <c r="C824" s="26"/>
      <c r="D824" s="26"/>
    </row>
    <row r="825" spans="3:4" x14ac:dyDescent="0.2">
      <c r="C825" s="26"/>
      <c r="D825" s="26"/>
    </row>
    <row r="826" spans="3:4" x14ac:dyDescent="0.2">
      <c r="C826" s="26"/>
      <c r="D826" s="26"/>
    </row>
    <row r="827" spans="3:4" x14ac:dyDescent="0.2">
      <c r="C827" s="26"/>
      <c r="D827" s="26"/>
    </row>
    <row r="828" spans="3:4" x14ac:dyDescent="0.2">
      <c r="C828" s="26"/>
      <c r="D828" s="26"/>
    </row>
    <row r="829" spans="3:4" x14ac:dyDescent="0.2">
      <c r="C829" s="26"/>
      <c r="D829" s="26"/>
    </row>
    <row r="830" spans="3:4" x14ac:dyDescent="0.2">
      <c r="C830" s="26"/>
      <c r="D830" s="26"/>
    </row>
    <row r="831" spans="3:4" x14ac:dyDescent="0.2">
      <c r="C831" s="26"/>
      <c r="D831" s="26"/>
    </row>
    <row r="832" spans="3:4" x14ac:dyDescent="0.2">
      <c r="C832" s="26"/>
      <c r="D832" s="26"/>
    </row>
    <row r="833" spans="3:4" x14ac:dyDescent="0.2">
      <c r="C833" s="26"/>
      <c r="D833" s="26"/>
    </row>
    <row r="834" spans="3:4" x14ac:dyDescent="0.2">
      <c r="C834" s="26"/>
      <c r="D834" s="26"/>
    </row>
    <row r="835" spans="3:4" x14ac:dyDescent="0.2">
      <c r="C835" s="26"/>
      <c r="D835" s="26"/>
    </row>
    <row r="836" spans="3:4" x14ac:dyDescent="0.2">
      <c r="C836" s="26"/>
      <c r="D836" s="26"/>
    </row>
    <row r="837" spans="3:4" x14ac:dyDescent="0.2">
      <c r="C837" s="26"/>
      <c r="D837" s="26"/>
    </row>
    <row r="838" spans="3:4" x14ac:dyDescent="0.2">
      <c r="C838" s="26"/>
      <c r="D838" s="26"/>
    </row>
    <row r="839" spans="3:4" x14ac:dyDescent="0.2">
      <c r="C839" s="26"/>
      <c r="D839" s="26"/>
    </row>
    <row r="840" spans="3:4" x14ac:dyDescent="0.2">
      <c r="C840" s="26"/>
      <c r="D840" s="26"/>
    </row>
    <row r="841" spans="3:4" x14ac:dyDescent="0.2">
      <c r="C841" s="26"/>
      <c r="D841" s="26"/>
    </row>
    <row r="842" spans="3:4" x14ac:dyDescent="0.2">
      <c r="C842" s="26"/>
      <c r="D842" s="26"/>
    </row>
    <row r="843" spans="3:4" x14ac:dyDescent="0.2">
      <c r="C843" s="26"/>
      <c r="D843" s="26"/>
    </row>
    <row r="844" spans="3:4" x14ac:dyDescent="0.2">
      <c r="C844" s="26"/>
      <c r="D844" s="26"/>
    </row>
    <row r="845" spans="3:4" x14ac:dyDescent="0.2">
      <c r="C845" s="26"/>
      <c r="D845" s="26"/>
    </row>
    <row r="846" spans="3:4" x14ac:dyDescent="0.2">
      <c r="C846" s="26"/>
      <c r="D846" s="26"/>
    </row>
    <row r="847" spans="3:4" x14ac:dyDescent="0.2">
      <c r="C847" s="26"/>
      <c r="D847" s="26"/>
    </row>
    <row r="848" spans="3:4" x14ac:dyDescent="0.2">
      <c r="C848" s="26"/>
      <c r="D848" s="26"/>
    </row>
    <row r="849" spans="3:4" x14ac:dyDescent="0.2">
      <c r="C849" s="26"/>
      <c r="D849" s="26"/>
    </row>
    <row r="850" spans="3:4" x14ac:dyDescent="0.2">
      <c r="C850" s="26"/>
      <c r="D850" s="26"/>
    </row>
    <row r="851" spans="3:4" x14ac:dyDescent="0.2">
      <c r="C851" s="26"/>
      <c r="D851" s="26"/>
    </row>
    <row r="852" spans="3:4" x14ac:dyDescent="0.2">
      <c r="C852" s="26"/>
      <c r="D852" s="26"/>
    </row>
    <row r="853" spans="3:4" x14ac:dyDescent="0.2">
      <c r="C853" s="26"/>
      <c r="D853" s="26"/>
    </row>
    <row r="854" spans="3:4" x14ac:dyDescent="0.2">
      <c r="C854" s="26"/>
      <c r="D854" s="26"/>
    </row>
    <row r="855" spans="3:4" x14ac:dyDescent="0.2">
      <c r="C855" s="26"/>
      <c r="D855" s="26"/>
    </row>
    <row r="856" spans="3:4" x14ac:dyDescent="0.2">
      <c r="C856" s="26"/>
      <c r="D856" s="26"/>
    </row>
    <row r="857" spans="3:4" x14ac:dyDescent="0.2">
      <c r="C857" s="26"/>
      <c r="D857" s="26"/>
    </row>
    <row r="858" spans="3:4" x14ac:dyDescent="0.2">
      <c r="C858" s="26"/>
      <c r="D858" s="26"/>
    </row>
    <row r="859" spans="3:4" x14ac:dyDescent="0.2">
      <c r="C859" s="26"/>
      <c r="D859" s="26"/>
    </row>
    <row r="860" spans="3:4" x14ac:dyDescent="0.2">
      <c r="C860" s="26"/>
      <c r="D860" s="26"/>
    </row>
    <row r="861" spans="3:4" x14ac:dyDescent="0.2">
      <c r="C861" s="26"/>
      <c r="D861" s="26"/>
    </row>
    <row r="862" spans="3:4" x14ac:dyDescent="0.2">
      <c r="C862" s="26"/>
      <c r="D862" s="26"/>
    </row>
    <row r="863" spans="3:4" x14ac:dyDescent="0.2">
      <c r="C863" s="26"/>
      <c r="D863" s="26"/>
    </row>
    <row r="864" spans="3:4" x14ac:dyDescent="0.2">
      <c r="C864" s="26"/>
      <c r="D864" s="26"/>
    </row>
    <row r="865" spans="3:4" x14ac:dyDescent="0.2">
      <c r="C865" s="26"/>
      <c r="D865" s="26"/>
    </row>
    <row r="866" spans="3:4" x14ac:dyDescent="0.2">
      <c r="C866" s="26"/>
      <c r="D866" s="26"/>
    </row>
    <row r="867" spans="3:4" x14ac:dyDescent="0.2">
      <c r="C867" s="26"/>
      <c r="D867" s="26"/>
    </row>
    <row r="868" spans="3:4" x14ac:dyDescent="0.2">
      <c r="C868" s="26"/>
      <c r="D868" s="26"/>
    </row>
    <row r="869" spans="3:4" x14ac:dyDescent="0.2">
      <c r="C869" s="26"/>
      <c r="D869" s="26"/>
    </row>
    <row r="870" spans="3:4" x14ac:dyDescent="0.2">
      <c r="C870" s="26"/>
      <c r="D870" s="26"/>
    </row>
    <row r="871" spans="3:4" x14ac:dyDescent="0.2">
      <c r="C871" s="26"/>
      <c r="D871" s="26"/>
    </row>
    <row r="872" spans="3:4" x14ac:dyDescent="0.2">
      <c r="C872" s="26"/>
      <c r="D872" s="26"/>
    </row>
    <row r="873" spans="3:4" x14ac:dyDescent="0.2">
      <c r="C873" s="26"/>
      <c r="D873" s="26"/>
    </row>
    <row r="874" spans="3:4" x14ac:dyDescent="0.2">
      <c r="C874" s="26"/>
      <c r="D874" s="26"/>
    </row>
    <row r="875" spans="3:4" x14ac:dyDescent="0.2">
      <c r="C875" s="26"/>
      <c r="D875" s="26"/>
    </row>
    <row r="876" spans="3:4" x14ac:dyDescent="0.2">
      <c r="C876" s="26"/>
      <c r="D876" s="26"/>
    </row>
    <row r="877" spans="3:4" x14ac:dyDescent="0.2">
      <c r="C877" s="26"/>
      <c r="D877" s="26"/>
    </row>
    <row r="878" spans="3:4" x14ac:dyDescent="0.2">
      <c r="C878" s="26"/>
      <c r="D878" s="26"/>
    </row>
    <row r="879" spans="3:4" x14ac:dyDescent="0.2">
      <c r="C879" s="26"/>
      <c r="D879" s="26"/>
    </row>
    <row r="880" spans="3:4" x14ac:dyDescent="0.2">
      <c r="C880" s="26"/>
      <c r="D880" s="26"/>
    </row>
    <row r="881" spans="3:4" x14ac:dyDescent="0.2">
      <c r="C881" s="26"/>
      <c r="D881" s="26"/>
    </row>
    <row r="882" spans="3:4" x14ac:dyDescent="0.2">
      <c r="C882" s="26"/>
      <c r="D882" s="26"/>
    </row>
    <row r="883" spans="3:4" x14ac:dyDescent="0.2">
      <c r="C883" s="26"/>
      <c r="D883" s="26"/>
    </row>
    <row r="884" spans="3:4" x14ac:dyDescent="0.2">
      <c r="C884" s="26"/>
      <c r="D884" s="26"/>
    </row>
    <row r="885" spans="3:4" x14ac:dyDescent="0.2">
      <c r="C885" s="26"/>
      <c r="D885" s="26"/>
    </row>
    <row r="886" spans="3:4" x14ac:dyDescent="0.2">
      <c r="C886" s="26"/>
      <c r="D886" s="26"/>
    </row>
    <row r="887" spans="3:4" x14ac:dyDescent="0.2">
      <c r="C887" s="26"/>
      <c r="D887" s="26"/>
    </row>
    <row r="888" spans="3:4" x14ac:dyDescent="0.2">
      <c r="C888" s="26"/>
      <c r="D888" s="26"/>
    </row>
    <row r="889" spans="3:4" x14ac:dyDescent="0.2">
      <c r="C889" s="26"/>
      <c r="D889" s="26"/>
    </row>
    <row r="890" spans="3:4" x14ac:dyDescent="0.2">
      <c r="C890" s="26"/>
      <c r="D890" s="26"/>
    </row>
    <row r="891" spans="3:4" x14ac:dyDescent="0.2">
      <c r="C891" s="26"/>
      <c r="D891" s="26"/>
    </row>
    <row r="892" spans="3:4" x14ac:dyDescent="0.2">
      <c r="C892" s="26"/>
      <c r="D892" s="26"/>
    </row>
    <row r="893" spans="3:4" x14ac:dyDescent="0.2">
      <c r="C893" s="26"/>
      <c r="D893" s="26"/>
    </row>
    <row r="894" spans="3:4" x14ac:dyDescent="0.2">
      <c r="C894" s="26"/>
      <c r="D894" s="26"/>
    </row>
    <row r="895" spans="3:4" x14ac:dyDescent="0.2">
      <c r="C895" s="26"/>
      <c r="D895" s="26"/>
    </row>
    <row r="896" spans="3:4" x14ac:dyDescent="0.2">
      <c r="C896" s="26"/>
      <c r="D896" s="26"/>
    </row>
    <row r="897" spans="3:4" x14ac:dyDescent="0.2">
      <c r="C897" s="26"/>
      <c r="D897" s="26"/>
    </row>
    <row r="898" spans="3:4" x14ac:dyDescent="0.2">
      <c r="C898" s="26"/>
      <c r="D898" s="26"/>
    </row>
    <row r="899" spans="3:4" x14ac:dyDescent="0.2">
      <c r="C899" s="26"/>
      <c r="D899" s="26"/>
    </row>
    <row r="900" spans="3:4" x14ac:dyDescent="0.2">
      <c r="C900" s="26"/>
      <c r="D900" s="26"/>
    </row>
    <row r="901" spans="3:4" x14ac:dyDescent="0.2">
      <c r="C901" s="26"/>
      <c r="D901" s="26"/>
    </row>
    <row r="902" spans="3:4" x14ac:dyDescent="0.2">
      <c r="C902" s="26"/>
      <c r="D902" s="26"/>
    </row>
    <row r="903" spans="3:4" x14ac:dyDescent="0.2">
      <c r="C903" s="26"/>
      <c r="D903" s="26"/>
    </row>
    <row r="904" spans="3:4" x14ac:dyDescent="0.2">
      <c r="C904" s="26"/>
      <c r="D904" s="26"/>
    </row>
    <row r="905" spans="3:4" x14ac:dyDescent="0.2">
      <c r="C905" s="26"/>
      <c r="D905" s="26"/>
    </row>
    <row r="906" spans="3:4" x14ac:dyDescent="0.2">
      <c r="C906" s="26"/>
      <c r="D906" s="26"/>
    </row>
    <row r="907" spans="3:4" x14ac:dyDescent="0.2">
      <c r="C907" s="26"/>
      <c r="D907" s="26"/>
    </row>
    <row r="908" spans="3:4" x14ac:dyDescent="0.2">
      <c r="C908" s="26"/>
      <c r="D908" s="26"/>
    </row>
    <row r="909" spans="3:4" x14ac:dyDescent="0.2">
      <c r="C909" s="26"/>
      <c r="D909" s="26"/>
    </row>
    <row r="910" spans="3:4" x14ac:dyDescent="0.2">
      <c r="C910" s="26"/>
      <c r="D910" s="26"/>
    </row>
    <row r="911" spans="3:4" x14ac:dyDescent="0.2">
      <c r="C911" s="26"/>
      <c r="D911" s="26"/>
    </row>
    <row r="912" spans="3:4" x14ac:dyDescent="0.2">
      <c r="C912" s="26"/>
      <c r="D912" s="26"/>
    </row>
    <row r="913" spans="3:4" x14ac:dyDescent="0.2">
      <c r="C913" s="26"/>
      <c r="D913" s="26"/>
    </row>
    <row r="914" spans="3:4" x14ac:dyDescent="0.2">
      <c r="C914" s="26"/>
      <c r="D914" s="26"/>
    </row>
    <row r="915" spans="3:4" x14ac:dyDescent="0.2">
      <c r="C915" s="26"/>
      <c r="D915" s="26"/>
    </row>
    <row r="916" spans="3:4" x14ac:dyDescent="0.2">
      <c r="C916" s="26"/>
      <c r="D916" s="26"/>
    </row>
    <row r="917" spans="3:4" x14ac:dyDescent="0.2">
      <c r="C917" s="26"/>
      <c r="D917" s="26"/>
    </row>
    <row r="918" spans="3:4" x14ac:dyDescent="0.2">
      <c r="C918" s="26"/>
      <c r="D918" s="26"/>
    </row>
    <row r="919" spans="3:4" x14ac:dyDescent="0.2">
      <c r="C919" s="26"/>
      <c r="D919" s="26"/>
    </row>
    <row r="920" spans="3:4" x14ac:dyDescent="0.2">
      <c r="C920" s="26"/>
      <c r="D920" s="26"/>
    </row>
    <row r="921" spans="3:4" x14ac:dyDescent="0.2">
      <c r="C921" s="26"/>
      <c r="D921" s="26"/>
    </row>
    <row r="922" spans="3:4" x14ac:dyDescent="0.2">
      <c r="C922" s="26"/>
      <c r="D922" s="26"/>
    </row>
    <row r="923" spans="3:4" x14ac:dyDescent="0.2">
      <c r="C923" s="26"/>
      <c r="D923" s="26"/>
    </row>
    <row r="924" spans="3:4" x14ac:dyDescent="0.2">
      <c r="C924" s="26"/>
      <c r="D924" s="26"/>
    </row>
    <row r="925" spans="3:4" x14ac:dyDescent="0.2">
      <c r="C925" s="26"/>
      <c r="D925" s="26"/>
    </row>
    <row r="926" spans="3:4" x14ac:dyDescent="0.2">
      <c r="C926" s="26"/>
      <c r="D926" s="26"/>
    </row>
    <row r="927" spans="3:4" x14ac:dyDescent="0.2">
      <c r="C927" s="26"/>
      <c r="D927" s="26"/>
    </row>
    <row r="928" spans="3:4" x14ac:dyDescent="0.2">
      <c r="C928" s="26"/>
      <c r="D928" s="26"/>
    </row>
    <row r="929" spans="3:4" x14ac:dyDescent="0.2">
      <c r="C929" s="26"/>
      <c r="D929" s="26"/>
    </row>
    <row r="930" spans="3:4" x14ac:dyDescent="0.2">
      <c r="C930" s="26"/>
      <c r="D930" s="26"/>
    </row>
    <row r="931" spans="3:4" x14ac:dyDescent="0.2">
      <c r="C931" s="26"/>
      <c r="D931" s="26"/>
    </row>
    <row r="932" spans="3:4" x14ac:dyDescent="0.2">
      <c r="C932" s="26"/>
      <c r="D932" s="26"/>
    </row>
    <row r="933" spans="3:4" x14ac:dyDescent="0.2">
      <c r="C933" s="26"/>
      <c r="D933" s="26"/>
    </row>
    <row r="934" spans="3:4" x14ac:dyDescent="0.2">
      <c r="C934" s="26"/>
      <c r="D934" s="26"/>
    </row>
    <row r="935" spans="3:4" x14ac:dyDescent="0.2">
      <c r="C935" s="26"/>
      <c r="D935" s="26"/>
    </row>
    <row r="936" spans="3:4" x14ac:dyDescent="0.2">
      <c r="C936" s="26"/>
      <c r="D936" s="26"/>
    </row>
    <row r="937" spans="3:4" x14ac:dyDescent="0.2">
      <c r="C937" s="26"/>
      <c r="D937" s="26"/>
    </row>
    <row r="938" spans="3:4" x14ac:dyDescent="0.2">
      <c r="C938" s="26"/>
      <c r="D938" s="26"/>
    </row>
    <row r="939" spans="3:4" x14ac:dyDescent="0.2">
      <c r="C939" s="26"/>
      <c r="D939" s="26"/>
    </row>
    <row r="940" spans="3:4" x14ac:dyDescent="0.2">
      <c r="C940" s="26"/>
      <c r="D940" s="26"/>
    </row>
    <row r="941" spans="3:4" x14ac:dyDescent="0.2">
      <c r="C941" s="26"/>
      <c r="D941" s="26"/>
    </row>
    <row r="942" spans="3:4" x14ac:dyDescent="0.2">
      <c r="C942" s="26"/>
      <c r="D942" s="26"/>
    </row>
    <row r="943" spans="3:4" x14ac:dyDescent="0.2">
      <c r="C943" s="26"/>
      <c r="D943" s="26"/>
    </row>
    <row r="944" spans="3:4" x14ac:dyDescent="0.2">
      <c r="C944" s="26"/>
      <c r="D944" s="26"/>
    </row>
    <row r="945" spans="3:4" x14ac:dyDescent="0.2">
      <c r="C945" s="26"/>
      <c r="D945" s="26"/>
    </row>
    <row r="946" spans="3:4" x14ac:dyDescent="0.2">
      <c r="C946" s="26"/>
      <c r="D946" s="26"/>
    </row>
    <row r="947" spans="3:4" x14ac:dyDescent="0.2">
      <c r="C947" s="26"/>
      <c r="D947" s="26"/>
    </row>
    <row r="948" spans="3:4" x14ac:dyDescent="0.2">
      <c r="C948" s="26"/>
      <c r="D948" s="26"/>
    </row>
    <row r="949" spans="3:4" x14ac:dyDescent="0.2">
      <c r="C949" s="26"/>
      <c r="D949" s="26"/>
    </row>
    <row r="950" spans="3:4" x14ac:dyDescent="0.2">
      <c r="C950" s="26"/>
      <c r="D950" s="26"/>
    </row>
    <row r="951" spans="3:4" x14ac:dyDescent="0.2">
      <c r="C951" s="26"/>
      <c r="D951" s="26"/>
    </row>
    <row r="952" spans="3:4" x14ac:dyDescent="0.2">
      <c r="C952" s="26"/>
      <c r="D952" s="26"/>
    </row>
    <row r="953" spans="3:4" x14ac:dyDescent="0.2">
      <c r="C953" s="26"/>
      <c r="D953" s="26"/>
    </row>
    <row r="954" spans="3:4" x14ac:dyDescent="0.2">
      <c r="C954" s="26"/>
      <c r="D954" s="26"/>
    </row>
    <row r="955" spans="3:4" x14ac:dyDescent="0.2">
      <c r="C955" s="26"/>
      <c r="D955" s="26"/>
    </row>
    <row r="956" spans="3:4" x14ac:dyDescent="0.2">
      <c r="C956" s="26"/>
      <c r="D956" s="26"/>
    </row>
    <row r="957" spans="3:4" x14ac:dyDescent="0.2">
      <c r="C957" s="26"/>
      <c r="D957" s="26"/>
    </row>
    <row r="958" spans="3:4" x14ac:dyDescent="0.2">
      <c r="C958" s="26"/>
      <c r="D958" s="26"/>
    </row>
    <row r="959" spans="3:4" x14ac:dyDescent="0.2">
      <c r="C959" s="26"/>
      <c r="D959" s="26"/>
    </row>
    <row r="960" spans="3:4" x14ac:dyDescent="0.2">
      <c r="C960" s="26"/>
      <c r="D960" s="26"/>
    </row>
    <row r="961" spans="3:4" x14ac:dyDescent="0.2">
      <c r="C961" s="26"/>
      <c r="D961" s="26"/>
    </row>
    <row r="962" spans="3:4" x14ac:dyDescent="0.2">
      <c r="C962" s="26"/>
      <c r="D962" s="26"/>
    </row>
    <row r="963" spans="3:4" x14ac:dyDescent="0.2">
      <c r="C963" s="26"/>
      <c r="D963" s="26"/>
    </row>
    <row r="964" spans="3:4" x14ac:dyDescent="0.2">
      <c r="C964" s="26"/>
      <c r="D964" s="26"/>
    </row>
    <row r="965" spans="3:4" x14ac:dyDescent="0.2">
      <c r="C965" s="26"/>
      <c r="D965" s="26"/>
    </row>
    <row r="966" spans="3:4" x14ac:dyDescent="0.2">
      <c r="C966" s="26"/>
      <c r="D966" s="26"/>
    </row>
    <row r="967" spans="3:4" x14ac:dyDescent="0.2">
      <c r="C967" s="26"/>
      <c r="D967" s="26"/>
    </row>
    <row r="968" spans="3:4" x14ac:dyDescent="0.2">
      <c r="C968" s="26"/>
      <c r="D968" s="26"/>
    </row>
    <row r="969" spans="3:4" x14ac:dyDescent="0.2">
      <c r="C969" s="26"/>
      <c r="D969" s="26"/>
    </row>
    <row r="970" spans="3:4" x14ac:dyDescent="0.2">
      <c r="C970" s="26"/>
      <c r="D970" s="26"/>
    </row>
    <row r="971" spans="3:4" x14ac:dyDescent="0.2">
      <c r="C971" s="26"/>
      <c r="D971" s="26"/>
    </row>
    <row r="972" spans="3:4" x14ac:dyDescent="0.2">
      <c r="C972" s="26"/>
      <c r="D972" s="26"/>
    </row>
    <row r="973" spans="3:4" x14ac:dyDescent="0.2">
      <c r="C973" s="26"/>
      <c r="D973" s="26"/>
    </row>
    <row r="974" spans="3:4" x14ac:dyDescent="0.2">
      <c r="C974" s="26"/>
      <c r="D974" s="26"/>
    </row>
    <row r="975" spans="3:4" x14ac:dyDescent="0.2">
      <c r="C975" s="26"/>
      <c r="D975" s="26"/>
    </row>
    <row r="976" spans="3:4" x14ac:dyDescent="0.2">
      <c r="C976" s="26"/>
      <c r="D976" s="26"/>
    </row>
    <row r="977" spans="3:4" x14ac:dyDescent="0.2">
      <c r="C977" s="26"/>
      <c r="D977" s="26"/>
    </row>
    <row r="978" spans="3:4" x14ac:dyDescent="0.2">
      <c r="C978" s="26"/>
      <c r="D978" s="26"/>
    </row>
    <row r="979" spans="3:4" x14ac:dyDescent="0.2">
      <c r="C979" s="26"/>
      <c r="D979" s="26"/>
    </row>
    <row r="980" spans="3:4" x14ac:dyDescent="0.2">
      <c r="C980" s="26"/>
      <c r="D980" s="26"/>
    </row>
    <row r="981" spans="3:4" x14ac:dyDescent="0.2">
      <c r="C981" s="26"/>
      <c r="D981" s="26"/>
    </row>
    <row r="982" spans="3:4" x14ac:dyDescent="0.2">
      <c r="C982" s="26"/>
      <c r="D982" s="26"/>
    </row>
    <row r="983" spans="3:4" x14ac:dyDescent="0.2">
      <c r="C983" s="26"/>
      <c r="D983" s="26"/>
    </row>
    <row r="984" spans="3:4" x14ac:dyDescent="0.2">
      <c r="C984" s="26"/>
      <c r="D984" s="26"/>
    </row>
    <row r="985" spans="3:4" x14ac:dyDescent="0.2">
      <c r="C985" s="26"/>
      <c r="D985" s="26"/>
    </row>
    <row r="986" spans="3:4" x14ac:dyDescent="0.2">
      <c r="C986" s="26"/>
      <c r="D986" s="26"/>
    </row>
    <row r="987" spans="3:4" x14ac:dyDescent="0.2">
      <c r="C987" s="26"/>
      <c r="D987" s="26"/>
    </row>
    <row r="988" spans="3:4" x14ac:dyDescent="0.2">
      <c r="C988" s="26"/>
      <c r="D988" s="26"/>
    </row>
    <row r="989" spans="3:4" x14ac:dyDescent="0.2">
      <c r="C989" s="26"/>
      <c r="D989" s="26"/>
    </row>
    <row r="990" spans="3:4" x14ac:dyDescent="0.2">
      <c r="C990" s="26"/>
      <c r="D990" s="26"/>
    </row>
    <row r="991" spans="3:4" x14ac:dyDescent="0.2">
      <c r="C991" s="26"/>
      <c r="D991" s="26"/>
    </row>
    <row r="992" spans="3:4" x14ac:dyDescent="0.2">
      <c r="C992" s="26"/>
      <c r="D992" s="26"/>
    </row>
    <row r="993" spans="3:4" x14ac:dyDescent="0.2">
      <c r="C993" s="26"/>
      <c r="D993" s="26"/>
    </row>
    <row r="994" spans="3:4" x14ac:dyDescent="0.2">
      <c r="C994" s="26"/>
      <c r="D994" s="26"/>
    </row>
    <row r="995" spans="3:4" x14ac:dyDescent="0.2">
      <c r="C995" s="26"/>
      <c r="D995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AD153"/>
  <sheetViews>
    <sheetView showGridLines="0" workbookViewId="0">
      <selection activeCell="A50" sqref="A44:XFD50"/>
    </sheetView>
  </sheetViews>
  <sheetFormatPr defaultColWidth="14.42578125" defaultRowHeight="15.75" customHeight="1" x14ac:dyDescent="0.2"/>
  <cols>
    <col min="1" max="1" width="3.28515625" style="50" customWidth="1"/>
    <col min="2" max="4" width="14.42578125" style="50"/>
    <col min="5" max="5" width="13.42578125" style="50" customWidth="1"/>
    <col min="6" max="18" width="14.42578125" style="50"/>
    <col min="19" max="19" width="12.42578125" style="50" customWidth="1"/>
    <col min="20" max="20" width="14.7109375" style="50" customWidth="1"/>
    <col min="21" max="21" width="13.85546875" style="50" customWidth="1"/>
    <col min="22" max="16384" width="14.42578125" style="50"/>
  </cols>
  <sheetData>
    <row r="2" spans="2:22" ht="12.75" x14ac:dyDescent="0.2">
      <c r="B2" s="1" t="s">
        <v>0</v>
      </c>
    </row>
    <row r="3" spans="2:22" ht="38.25" x14ac:dyDescent="0.2">
      <c r="B3" s="3" t="s">
        <v>2</v>
      </c>
      <c r="C3" s="3" t="s">
        <v>4</v>
      </c>
      <c r="D3" s="5" t="s">
        <v>5</v>
      </c>
      <c r="E3" s="5" t="s">
        <v>9</v>
      </c>
      <c r="F3" s="5" t="s">
        <v>10</v>
      </c>
    </row>
    <row r="4" spans="2:22" ht="12.75" x14ac:dyDescent="0.2">
      <c r="B4" s="33">
        <v>11</v>
      </c>
      <c r="C4" s="33">
        <v>3750</v>
      </c>
      <c r="D4" s="33">
        <v>196</v>
      </c>
      <c r="E4" s="32">
        <v>14.42</v>
      </c>
      <c r="F4" s="12">
        <f t="shared" ref="F4:F14" si="0">D4/260</f>
        <v>0.75384615384615383</v>
      </c>
    </row>
    <row r="5" spans="2:22" ht="12.75" x14ac:dyDescent="0.2">
      <c r="B5" s="33">
        <v>12</v>
      </c>
      <c r="C5" s="33">
        <v>2331</v>
      </c>
      <c r="D5" s="33">
        <v>160</v>
      </c>
      <c r="E5" s="32">
        <v>8.9700000000000006</v>
      </c>
      <c r="F5" s="12">
        <f t="shared" si="0"/>
        <v>0.61538461538461542</v>
      </c>
    </row>
    <row r="6" spans="2:22" ht="12.75" x14ac:dyDescent="0.2">
      <c r="B6" s="33">
        <v>13</v>
      </c>
      <c r="C6" s="33">
        <v>1403</v>
      </c>
      <c r="D6" s="33">
        <v>126</v>
      </c>
      <c r="E6" s="32">
        <v>5.4</v>
      </c>
      <c r="F6" s="12">
        <f t="shared" si="0"/>
        <v>0.48461538461538461</v>
      </c>
    </row>
    <row r="7" spans="2:22" ht="12.75" x14ac:dyDescent="0.2">
      <c r="B7" s="33">
        <v>14</v>
      </c>
      <c r="C7" s="33">
        <v>785</v>
      </c>
      <c r="D7" s="33">
        <v>96</v>
      </c>
      <c r="E7" s="32">
        <v>3.02</v>
      </c>
      <c r="F7" s="12">
        <f t="shared" si="0"/>
        <v>0.36923076923076925</v>
      </c>
    </row>
    <row r="8" spans="2:22" ht="12.75" x14ac:dyDescent="0.2">
      <c r="B8" s="33">
        <v>15</v>
      </c>
      <c r="C8" s="33">
        <v>388</v>
      </c>
      <c r="D8" s="33">
        <v>59</v>
      </c>
      <c r="E8" s="32">
        <v>1.49</v>
      </c>
      <c r="F8" s="12">
        <f t="shared" si="0"/>
        <v>0.22692307692307692</v>
      </c>
    </row>
    <row r="9" spans="2:22" ht="12.75" x14ac:dyDescent="0.2">
      <c r="B9" s="33">
        <v>16</v>
      </c>
      <c r="C9" s="33">
        <v>203</v>
      </c>
      <c r="D9" s="33">
        <v>34</v>
      </c>
      <c r="E9" s="32">
        <v>0.78</v>
      </c>
      <c r="F9" s="12">
        <f t="shared" si="0"/>
        <v>0.13076923076923078</v>
      </c>
    </row>
    <row r="10" spans="2:22" ht="12.75" x14ac:dyDescent="0.2">
      <c r="B10" s="33">
        <v>17</v>
      </c>
      <c r="C10" s="33">
        <v>89</v>
      </c>
      <c r="D10" s="33">
        <v>20</v>
      </c>
      <c r="E10" s="32">
        <v>0.34</v>
      </c>
      <c r="F10" s="12">
        <f t="shared" si="0"/>
        <v>7.6923076923076927E-2</v>
      </c>
    </row>
    <row r="11" spans="2:22" ht="12.75" x14ac:dyDescent="0.2">
      <c r="B11" s="33">
        <v>18</v>
      </c>
      <c r="C11" s="33">
        <v>32</v>
      </c>
      <c r="D11" s="33">
        <v>9</v>
      </c>
      <c r="E11" s="32">
        <v>0.12</v>
      </c>
      <c r="F11" s="12">
        <f t="shared" si="0"/>
        <v>3.4615384615384617E-2</v>
      </c>
    </row>
    <row r="12" spans="2:22" ht="12.75" x14ac:dyDescent="0.2">
      <c r="B12" s="33">
        <v>19</v>
      </c>
      <c r="C12" s="33">
        <v>13</v>
      </c>
      <c r="D12" s="33">
        <v>3</v>
      </c>
      <c r="E12" s="32">
        <v>0.05</v>
      </c>
      <c r="F12" s="12">
        <f t="shared" si="0"/>
        <v>1.1538461538461539E-2</v>
      </c>
    </row>
    <row r="13" spans="2:22" ht="12.75" x14ac:dyDescent="0.2">
      <c r="B13" s="33">
        <v>20</v>
      </c>
      <c r="C13" s="33">
        <v>1</v>
      </c>
      <c r="D13" s="33">
        <v>1</v>
      </c>
      <c r="E13" s="32">
        <v>0</v>
      </c>
      <c r="F13" s="12">
        <f t="shared" si="0"/>
        <v>3.8461538461538464E-3</v>
      </c>
    </row>
    <row r="14" spans="2:22" ht="12.75" x14ac:dyDescent="0.2">
      <c r="B14" s="33">
        <v>21</v>
      </c>
      <c r="C14" s="33">
        <v>0</v>
      </c>
      <c r="D14" s="33">
        <v>0</v>
      </c>
      <c r="E14" s="32">
        <v>0</v>
      </c>
      <c r="F14" s="12">
        <f t="shared" si="0"/>
        <v>0</v>
      </c>
    </row>
    <row r="15" spans="2:22" ht="12.75" x14ac:dyDescent="0.2">
      <c r="T15" s="20"/>
      <c r="U15" s="20"/>
      <c r="V15" s="20"/>
    </row>
    <row r="16" spans="2:22" ht="12.75" x14ac:dyDescent="0.2">
      <c r="B16" s="1" t="s">
        <v>24</v>
      </c>
      <c r="E16" s="21">
        <v>600</v>
      </c>
    </row>
    <row r="17" spans="2:24" ht="38.25" x14ac:dyDescent="0.2">
      <c r="B17" s="3" t="s">
        <v>2</v>
      </c>
      <c r="C17" s="5" t="s">
        <v>9</v>
      </c>
      <c r="D17" s="5" t="s">
        <v>27</v>
      </c>
      <c r="E17" s="5" t="s">
        <v>28</v>
      </c>
      <c r="W17" s="22"/>
      <c r="X17" s="22"/>
    </row>
    <row r="18" spans="2:24" ht="12.75" x14ac:dyDescent="0.2">
      <c r="B18" s="33">
        <v>11</v>
      </c>
      <c r="C18" s="32">
        <v>14.42</v>
      </c>
      <c r="D18" s="24">
        <v>1.2016666666666667</v>
      </c>
      <c r="E18" s="25">
        <f t="shared" ref="E18:E28" si="1">D18*$E$16</f>
        <v>721</v>
      </c>
      <c r="W18" s="22"/>
      <c r="X18" s="22"/>
    </row>
    <row r="19" spans="2:24" ht="12.75" x14ac:dyDescent="0.2">
      <c r="B19" s="33">
        <v>12</v>
      </c>
      <c r="C19" s="32">
        <v>8.9700000000000006</v>
      </c>
      <c r="D19" s="24">
        <v>0.74750000000000005</v>
      </c>
      <c r="E19" s="25">
        <f t="shared" si="1"/>
        <v>448.50000000000006</v>
      </c>
      <c r="W19" s="22"/>
      <c r="X19" s="22"/>
    </row>
    <row r="20" spans="2:24" ht="12.75" x14ac:dyDescent="0.2">
      <c r="B20" s="33">
        <v>13</v>
      </c>
      <c r="C20" s="32">
        <v>5.4</v>
      </c>
      <c r="D20" s="24">
        <v>0.45</v>
      </c>
      <c r="E20" s="25">
        <f t="shared" si="1"/>
        <v>270</v>
      </c>
      <c r="T20" s="22"/>
      <c r="W20" s="22"/>
      <c r="X20" s="22"/>
    </row>
    <row r="21" spans="2:24" ht="12.75" x14ac:dyDescent="0.2">
      <c r="B21" s="33">
        <v>14</v>
      </c>
      <c r="C21" s="32">
        <v>3.02</v>
      </c>
      <c r="D21" s="24">
        <v>0.25166666666666665</v>
      </c>
      <c r="E21" s="25">
        <f t="shared" si="1"/>
        <v>151</v>
      </c>
      <c r="T21" s="22"/>
      <c r="W21" s="22"/>
      <c r="X21" s="22"/>
    </row>
    <row r="22" spans="2:24" ht="12.75" x14ac:dyDescent="0.2">
      <c r="B22" s="33">
        <v>15</v>
      </c>
      <c r="C22" s="32">
        <v>1.49</v>
      </c>
      <c r="D22" s="24">
        <v>0.12416666666666668</v>
      </c>
      <c r="E22" s="25">
        <f t="shared" si="1"/>
        <v>74.5</v>
      </c>
      <c r="T22" s="22"/>
      <c r="W22" s="22"/>
      <c r="X22" s="22"/>
    </row>
    <row r="23" spans="2:24" ht="12.75" x14ac:dyDescent="0.2">
      <c r="B23" s="33">
        <v>16</v>
      </c>
      <c r="C23" s="32">
        <v>0.78</v>
      </c>
      <c r="D23" s="24">
        <v>6.5000000000000002E-2</v>
      </c>
      <c r="E23" s="25">
        <f t="shared" si="1"/>
        <v>39</v>
      </c>
      <c r="T23" s="22"/>
      <c r="W23" s="22"/>
      <c r="X23" s="22"/>
    </row>
    <row r="24" spans="2:24" ht="12.75" x14ac:dyDescent="0.2">
      <c r="B24" s="33">
        <v>17</v>
      </c>
      <c r="C24" s="32">
        <v>0.34</v>
      </c>
      <c r="D24" s="24">
        <v>2.8333333333333335E-2</v>
      </c>
      <c r="E24" s="25">
        <f t="shared" si="1"/>
        <v>17</v>
      </c>
      <c r="T24" s="22"/>
      <c r="W24" s="22"/>
      <c r="X24" s="22"/>
    </row>
    <row r="25" spans="2:24" ht="12.75" x14ac:dyDescent="0.2">
      <c r="B25" s="33">
        <v>18</v>
      </c>
      <c r="C25" s="32">
        <v>0.12</v>
      </c>
      <c r="D25" s="24">
        <v>0.01</v>
      </c>
      <c r="E25" s="25">
        <f t="shared" si="1"/>
        <v>6</v>
      </c>
      <c r="T25" s="22"/>
      <c r="W25" s="22"/>
      <c r="X25" s="22"/>
    </row>
    <row r="26" spans="2:24" ht="12.75" x14ac:dyDescent="0.2">
      <c r="B26" s="33">
        <v>19</v>
      </c>
      <c r="C26" s="32">
        <v>0.05</v>
      </c>
      <c r="D26" s="24">
        <v>4.1666666666666666E-3</v>
      </c>
      <c r="E26" s="25">
        <f t="shared" si="1"/>
        <v>2.5</v>
      </c>
      <c r="T26" s="22"/>
      <c r="W26" s="22"/>
      <c r="X26" s="22"/>
    </row>
    <row r="27" spans="2:24" ht="12.75" x14ac:dyDescent="0.2">
      <c r="B27" s="33">
        <v>20</v>
      </c>
      <c r="C27" s="32">
        <v>0</v>
      </c>
      <c r="D27" s="24">
        <v>0</v>
      </c>
      <c r="E27" s="25">
        <f t="shared" si="1"/>
        <v>0</v>
      </c>
      <c r="T27" s="22"/>
      <c r="W27" s="22"/>
      <c r="X27" s="22"/>
    </row>
    <row r="28" spans="2:24" ht="12.75" x14ac:dyDescent="0.2">
      <c r="B28" s="33">
        <v>21</v>
      </c>
      <c r="C28" s="32">
        <v>0</v>
      </c>
      <c r="D28" s="24">
        <v>0</v>
      </c>
      <c r="E28" s="25">
        <f t="shared" si="1"/>
        <v>0</v>
      </c>
      <c r="T28" s="22"/>
      <c r="W28" s="22"/>
      <c r="X28" s="22"/>
    </row>
    <row r="29" spans="2:24" ht="12.75" x14ac:dyDescent="0.2">
      <c r="T29" s="22"/>
      <c r="W29" s="22"/>
      <c r="X29" s="22"/>
    </row>
    <row r="30" spans="2:24" ht="12.75" x14ac:dyDescent="0.2">
      <c r="B30" s="1" t="s">
        <v>39</v>
      </c>
      <c r="E30" s="21">
        <v>10</v>
      </c>
      <c r="H30" s="1" t="s">
        <v>40</v>
      </c>
      <c r="T30" s="22"/>
      <c r="W30" s="22"/>
      <c r="X30" s="22"/>
    </row>
    <row r="31" spans="2:24" ht="51" x14ac:dyDescent="0.2">
      <c r="B31" s="3" t="s">
        <v>2</v>
      </c>
      <c r="C31" s="5" t="s">
        <v>41</v>
      </c>
      <c r="D31" s="5" t="s">
        <v>42</v>
      </c>
      <c r="E31" s="5" t="s">
        <v>43</v>
      </c>
      <c r="H31" s="3" t="s">
        <v>2</v>
      </c>
      <c r="I31" s="3" t="s">
        <v>40</v>
      </c>
      <c r="J31" s="3" t="s">
        <v>44</v>
      </c>
      <c r="T31" s="22"/>
      <c r="W31" s="22"/>
      <c r="X31" s="22"/>
    </row>
    <row r="32" spans="2:24" ht="12.75" x14ac:dyDescent="0.2">
      <c r="B32" s="33">
        <v>11</v>
      </c>
      <c r="C32" s="33">
        <v>47427</v>
      </c>
      <c r="D32" s="32">
        <f t="shared" ref="D32:D42" si="2">C32/260*5/60/24*5</f>
        <v>3.1668669871794872</v>
      </c>
      <c r="E32" s="25">
        <f t="shared" ref="E32:E42" si="3">D32*E$30</f>
        <v>31.668669871794872</v>
      </c>
      <c r="H32" s="33">
        <v>11</v>
      </c>
      <c r="I32" s="25">
        <f t="shared" ref="I32:I42" si="4">E18+E32</f>
        <v>752.66866987179492</v>
      </c>
      <c r="J32" s="33">
        <f t="shared" ref="J32:J42" si="5">RANK(I32,$I$32:$I$42,1)</f>
        <v>11</v>
      </c>
      <c r="T32" s="22"/>
      <c r="W32" s="22"/>
      <c r="X32" s="22"/>
    </row>
    <row r="33" spans="1:30" ht="12.75" x14ac:dyDescent="0.2">
      <c r="B33" s="33">
        <v>12</v>
      </c>
      <c r="C33" s="33">
        <v>60259</v>
      </c>
      <c r="D33" s="32">
        <f t="shared" si="2"/>
        <v>4.0237045940170937</v>
      </c>
      <c r="E33" s="25">
        <f t="shared" si="3"/>
        <v>40.237045940170937</v>
      </c>
      <c r="H33" s="33">
        <v>12</v>
      </c>
      <c r="I33" s="25">
        <f t="shared" si="4"/>
        <v>488.73704594017101</v>
      </c>
      <c r="J33" s="33">
        <f t="shared" si="5"/>
        <v>10</v>
      </c>
      <c r="T33" s="22"/>
      <c r="W33" s="22"/>
      <c r="X33" s="22"/>
    </row>
    <row r="34" spans="1:30" ht="12.75" x14ac:dyDescent="0.2">
      <c r="B34" s="33">
        <v>13</v>
      </c>
      <c r="C34" s="33">
        <v>74098</v>
      </c>
      <c r="D34" s="32">
        <f t="shared" si="2"/>
        <v>4.9477831196581201</v>
      </c>
      <c r="E34" s="25">
        <f t="shared" si="3"/>
        <v>49.477831196581199</v>
      </c>
      <c r="H34" s="33">
        <v>13</v>
      </c>
      <c r="I34" s="25">
        <f t="shared" si="4"/>
        <v>319.47783119658118</v>
      </c>
      <c r="J34" s="33">
        <f t="shared" si="5"/>
        <v>9</v>
      </c>
      <c r="T34" s="22"/>
      <c r="W34" s="22"/>
      <c r="X34" s="22"/>
    </row>
    <row r="35" spans="1:30" ht="12.75" x14ac:dyDescent="0.2">
      <c r="B35" s="33">
        <v>14</v>
      </c>
      <c r="C35" s="33">
        <v>88614</v>
      </c>
      <c r="D35" s="32">
        <f t="shared" si="2"/>
        <v>5.9170673076923084</v>
      </c>
      <c r="E35" s="25">
        <f t="shared" si="3"/>
        <v>59.17067307692308</v>
      </c>
      <c r="H35" s="33">
        <v>14</v>
      </c>
      <c r="I35" s="25">
        <f t="shared" si="4"/>
        <v>210.17067307692309</v>
      </c>
      <c r="J35" s="33">
        <f t="shared" si="5"/>
        <v>8</v>
      </c>
      <c r="T35" s="22"/>
      <c r="W35" s="22"/>
      <c r="X35" s="22"/>
    </row>
    <row r="36" spans="1:30" ht="12.75" x14ac:dyDescent="0.2">
      <c r="B36" s="33">
        <v>15</v>
      </c>
      <c r="C36" s="33">
        <v>103572</v>
      </c>
      <c r="D36" s="32">
        <f t="shared" si="2"/>
        <v>6.915865384615385</v>
      </c>
      <c r="E36" s="25">
        <f t="shared" si="3"/>
        <v>69.158653846153854</v>
      </c>
      <c r="H36" s="33">
        <v>15</v>
      </c>
      <c r="I36" s="25">
        <f t="shared" si="4"/>
        <v>143.65865384615387</v>
      </c>
      <c r="J36" s="33">
        <f t="shared" si="5"/>
        <v>7</v>
      </c>
      <c r="T36" s="22"/>
      <c r="W36" s="22"/>
      <c r="X36" s="22"/>
    </row>
    <row r="37" spans="1:30" ht="12.75" x14ac:dyDescent="0.2">
      <c r="B37" s="33">
        <v>16</v>
      </c>
      <c r="C37" s="33">
        <v>118837</v>
      </c>
      <c r="D37" s="32">
        <f t="shared" si="2"/>
        <v>7.9351629273504276</v>
      </c>
      <c r="E37" s="25">
        <f t="shared" si="3"/>
        <v>79.351629273504273</v>
      </c>
      <c r="H37" s="33">
        <v>16</v>
      </c>
      <c r="I37" s="25">
        <f t="shared" si="4"/>
        <v>118.35162927350427</v>
      </c>
      <c r="J37" s="33">
        <f t="shared" si="5"/>
        <v>4</v>
      </c>
      <c r="T37" s="22"/>
      <c r="W37" s="22"/>
      <c r="X37" s="22"/>
    </row>
    <row r="38" spans="1:30" ht="12.75" x14ac:dyDescent="0.2">
      <c r="B38" s="33">
        <v>17</v>
      </c>
      <c r="C38" s="33">
        <v>134258</v>
      </c>
      <c r="D38" s="32">
        <f t="shared" si="2"/>
        <v>8.9648771367521363</v>
      </c>
      <c r="E38" s="25">
        <f t="shared" si="3"/>
        <v>89.648771367521363</v>
      </c>
      <c r="H38" s="33">
        <v>17</v>
      </c>
      <c r="I38" s="25">
        <f t="shared" si="4"/>
        <v>106.64877136752136</v>
      </c>
      <c r="J38" s="33">
        <f t="shared" si="5"/>
        <v>2</v>
      </c>
      <c r="T38" s="22"/>
      <c r="W38" s="22"/>
      <c r="X38" s="22"/>
    </row>
    <row r="39" spans="1:30" ht="12.75" x14ac:dyDescent="0.2">
      <c r="B39" s="33">
        <v>18</v>
      </c>
      <c r="C39" s="33">
        <v>149781</v>
      </c>
      <c r="D39" s="32">
        <f t="shared" si="2"/>
        <v>10.001402243589743</v>
      </c>
      <c r="E39" s="25">
        <f t="shared" si="3"/>
        <v>100.01402243589743</v>
      </c>
      <c r="H39" s="33">
        <v>18</v>
      </c>
      <c r="I39" s="25">
        <f t="shared" si="4"/>
        <v>106.01402243589743</v>
      </c>
      <c r="J39" s="33">
        <f t="shared" si="5"/>
        <v>1</v>
      </c>
      <c r="T39" s="22"/>
      <c r="W39" s="22"/>
      <c r="X39" s="22"/>
    </row>
    <row r="40" spans="1:30" ht="12.75" x14ac:dyDescent="0.2">
      <c r="B40" s="33">
        <v>19</v>
      </c>
      <c r="C40" s="33">
        <v>165357</v>
      </c>
      <c r="D40" s="32">
        <f t="shared" si="2"/>
        <v>11.041466346153847</v>
      </c>
      <c r="E40" s="25">
        <f t="shared" si="3"/>
        <v>110.41466346153847</v>
      </c>
      <c r="H40" s="33">
        <v>19</v>
      </c>
      <c r="I40" s="25">
        <f t="shared" si="4"/>
        <v>112.91466346153847</v>
      </c>
      <c r="J40" s="33">
        <f t="shared" si="5"/>
        <v>3</v>
      </c>
      <c r="T40" s="22"/>
      <c r="W40" s="22"/>
      <c r="X40" s="22"/>
    </row>
    <row r="41" spans="1:30" ht="12.75" x14ac:dyDescent="0.2">
      <c r="B41" s="33">
        <v>20</v>
      </c>
      <c r="C41" s="33">
        <v>180948</v>
      </c>
      <c r="D41" s="32">
        <f t="shared" si="2"/>
        <v>12.082532051282049</v>
      </c>
      <c r="E41" s="25">
        <f t="shared" si="3"/>
        <v>120.8253205128205</v>
      </c>
      <c r="H41" s="33">
        <v>20</v>
      </c>
      <c r="I41" s="25">
        <f t="shared" si="4"/>
        <v>120.8253205128205</v>
      </c>
      <c r="J41" s="33">
        <f t="shared" si="5"/>
        <v>5</v>
      </c>
      <c r="T41" s="22"/>
      <c r="W41" s="22"/>
      <c r="X41" s="22"/>
    </row>
    <row r="42" spans="1:30" ht="12.75" x14ac:dyDescent="0.2">
      <c r="B42" s="33">
        <v>21</v>
      </c>
      <c r="C42" s="33">
        <v>196547</v>
      </c>
      <c r="D42" s="32">
        <f t="shared" si="2"/>
        <v>13.124131944444443</v>
      </c>
      <c r="E42" s="25">
        <f t="shared" si="3"/>
        <v>131.24131944444443</v>
      </c>
      <c r="H42" s="33">
        <v>21</v>
      </c>
      <c r="I42" s="25">
        <f t="shared" si="4"/>
        <v>131.24131944444443</v>
      </c>
      <c r="J42" s="33">
        <f t="shared" si="5"/>
        <v>6</v>
      </c>
      <c r="T42" s="22"/>
      <c r="W42" s="22"/>
      <c r="X42" s="22"/>
    </row>
    <row r="43" spans="1:30" ht="12.75" x14ac:dyDescent="0.2">
      <c r="T43" s="22"/>
      <c r="W43" s="22"/>
      <c r="X43" s="22"/>
    </row>
    <row r="44" spans="1:30" ht="15.75" customHeight="1" x14ac:dyDescent="0.2"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</row>
    <row r="45" spans="1:30" ht="15.75" customHeight="1" x14ac:dyDescent="0.2">
      <c r="B45" s="1" t="s">
        <v>45</v>
      </c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</row>
    <row r="46" spans="1:30" ht="15.75" customHeight="1" x14ac:dyDescent="0.2">
      <c r="B46" s="34" t="s">
        <v>46</v>
      </c>
      <c r="C46" s="34" t="s">
        <v>47</v>
      </c>
      <c r="D46" s="34" t="s">
        <v>48</v>
      </c>
      <c r="E46" s="34" t="s">
        <v>49</v>
      </c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</row>
    <row r="47" spans="1:30" ht="15.75" customHeight="1" x14ac:dyDescent="0.2">
      <c r="B47" s="35">
        <v>0.72916666666666663</v>
      </c>
      <c r="C47" s="36">
        <v>6.05</v>
      </c>
      <c r="D47" s="36">
        <v>7.8932432429999997</v>
      </c>
      <c r="E47" s="11" t="s">
        <v>50</v>
      </c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</row>
    <row r="48" spans="1:30" ht="15.75" customHeight="1" x14ac:dyDescent="0.2">
      <c r="A48" s="37"/>
      <c r="B48" s="35">
        <v>0.75</v>
      </c>
      <c r="C48" s="36">
        <v>5.8115384619999997</v>
      </c>
      <c r="D48" s="36">
        <v>7.2886694390000004</v>
      </c>
      <c r="E48" s="38">
        <f t="shared" ref="E48:E60" si="6">(C48-C47)/C47</f>
        <v>-3.9415130247933909E-2</v>
      </c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</row>
    <row r="49" spans="2:30" ht="15.75" customHeight="1" x14ac:dyDescent="0.2">
      <c r="B49" s="35">
        <v>0.77083333333333337</v>
      </c>
      <c r="C49" s="36">
        <v>4.6576923079999997</v>
      </c>
      <c r="D49" s="36">
        <v>5.8167359669999996</v>
      </c>
      <c r="E49" s="38">
        <f t="shared" si="6"/>
        <v>-0.19854401059971855</v>
      </c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</row>
    <row r="50" spans="2:30" ht="15.75" customHeight="1" x14ac:dyDescent="0.2">
      <c r="B50" s="35">
        <v>0.79166666666666674</v>
      </c>
      <c r="C50" s="36">
        <v>4.4307692310000002</v>
      </c>
      <c r="D50" s="36">
        <v>5.7596673599999999</v>
      </c>
      <c r="E50" s="38">
        <f t="shared" si="6"/>
        <v>-4.8720066074403191E-2</v>
      </c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</row>
    <row r="51" spans="2:30" ht="15.75" customHeight="1" x14ac:dyDescent="0.2">
      <c r="B51" s="35">
        <v>0.81250000000000011</v>
      </c>
      <c r="C51" s="36">
        <v>3.423076923</v>
      </c>
      <c r="D51" s="36">
        <v>4.8241758240000001</v>
      </c>
      <c r="E51" s="38">
        <f t="shared" si="6"/>
        <v>-0.2274305556131547</v>
      </c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</row>
    <row r="52" spans="2:30" ht="15.75" customHeight="1" x14ac:dyDescent="0.2">
      <c r="B52" s="35">
        <v>0.83333333333333348</v>
      </c>
      <c r="C52" s="36">
        <v>3.2</v>
      </c>
      <c r="D52" s="36">
        <v>4.4154440150000003</v>
      </c>
      <c r="E52" s="38">
        <f t="shared" si="6"/>
        <v>-6.5168539304835196E-2</v>
      </c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</row>
    <row r="53" spans="2:30" ht="15.75" customHeight="1" x14ac:dyDescent="0.2">
      <c r="B53" s="35">
        <v>0.85416666666666685</v>
      </c>
      <c r="C53" s="36">
        <v>2.4</v>
      </c>
      <c r="D53" s="36">
        <v>3.2370656370000002</v>
      </c>
      <c r="E53" s="38">
        <f t="shared" si="6"/>
        <v>-0.25000000000000006</v>
      </c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</row>
    <row r="54" spans="2:30" ht="15.75" customHeight="1" x14ac:dyDescent="0.2">
      <c r="B54" s="35">
        <v>0.87500000000000022</v>
      </c>
      <c r="C54" s="36">
        <v>2.288461538</v>
      </c>
      <c r="D54" s="36">
        <v>3.1095188600000001</v>
      </c>
      <c r="E54" s="38">
        <f t="shared" si="6"/>
        <v>-4.6474359166666646E-2</v>
      </c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</row>
    <row r="55" spans="2:30" ht="15.75" customHeight="1" x14ac:dyDescent="0.2">
      <c r="B55" s="35">
        <v>0.89583333333333359</v>
      </c>
      <c r="C55" s="36">
        <v>1.8769230770000001</v>
      </c>
      <c r="D55" s="36">
        <v>2.6797742800000002</v>
      </c>
      <c r="E55" s="38">
        <f t="shared" si="6"/>
        <v>-0.17983193257408372</v>
      </c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</row>
    <row r="56" spans="2:30" ht="15.75" customHeight="1" x14ac:dyDescent="0.2">
      <c r="B56" s="35">
        <v>0.91666666666666696</v>
      </c>
      <c r="C56" s="36">
        <v>1.7846153849999999</v>
      </c>
      <c r="D56" s="36">
        <v>2.6561330559999998</v>
      </c>
      <c r="E56" s="38">
        <f t="shared" si="6"/>
        <v>-4.9180327702902503E-2</v>
      </c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</row>
    <row r="57" spans="2:30" ht="15.75" customHeight="1" x14ac:dyDescent="0.2">
      <c r="B57" s="35">
        <v>0.93750000000000033</v>
      </c>
      <c r="C57" s="36">
        <v>1.4346153850000001</v>
      </c>
      <c r="D57" s="36">
        <v>1.8605732109999999</v>
      </c>
      <c r="E57" s="38">
        <f t="shared" si="6"/>
        <v>-0.19612068961290496</v>
      </c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</row>
    <row r="58" spans="2:30" ht="15.75" customHeight="1" x14ac:dyDescent="0.2">
      <c r="B58" s="35">
        <v>0.9583333333333337</v>
      </c>
      <c r="C58" s="36">
        <v>1.4</v>
      </c>
      <c r="D58" s="36">
        <v>1.8393822390000001</v>
      </c>
      <c r="E58" s="38">
        <f t="shared" si="6"/>
        <v>-2.412868658870556E-2</v>
      </c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</row>
    <row r="59" spans="2:30" ht="15.75" customHeight="1" x14ac:dyDescent="0.2">
      <c r="B59" s="35">
        <v>0.97916666666666707</v>
      </c>
      <c r="C59" s="36">
        <v>1.1576923079999999</v>
      </c>
      <c r="D59" s="36">
        <v>1.6236857739999999</v>
      </c>
      <c r="E59" s="38">
        <f t="shared" si="6"/>
        <v>-0.17307692285714288</v>
      </c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</row>
    <row r="60" spans="2:30" ht="15.75" customHeight="1" x14ac:dyDescent="0.2">
      <c r="B60" s="39" t="s">
        <v>51</v>
      </c>
      <c r="C60" s="36">
        <v>1.038461538</v>
      </c>
      <c r="D60" s="36">
        <v>1.365310365</v>
      </c>
      <c r="E60" s="38">
        <f t="shared" si="6"/>
        <v>-0.10299003385967037</v>
      </c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</row>
    <row r="61" spans="2:30" ht="15.75" customHeight="1" x14ac:dyDescent="0.2"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</row>
    <row r="62" spans="2:30" ht="15.75" customHeight="1" x14ac:dyDescent="0.2"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</row>
    <row r="63" spans="2:30" ht="12.75" x14ac:dyDescent="0.2">
      <c r="B63" s="1" t="s">
        <v>52</v>
      </c>
    </row>
    <row r="64" spans="2:30" ht="12.75" x14ac:dyDescent="0.2">
      <c r="B64" s="1"/>
      <c r="C64" s="1"/>
      <c r="D64" s="40">
        <v>4</v>
      </c>
      <c r="E64" s="41"/>
      <c r="F64" s="21">
        <v>48</v>
      </c>
    </row>
    <row r="65" spans="2:11" ht="25.5" x14ac:dyDescent="0.2">
      <c r="B65" s="34" t="s">
        <v>46</v>
      </c>
      <c r="C65" s="34" t="s">
        <v>53</v>
      </c>
      <c r="D65" s="34" t="s">
        <v>54</v>
      </c>
      <c r="E65" s="42" t="s">
        <v>55</v>
      </c>
      <c r="F65" s="34" t="s">
        <v>56</v>
      </c>
    </row>
    <row r="66" spans="2:11" ht="15.75" customHeight="1" x14ac:dyDescent="0.2">
      <c r="B66" s="35">
        <v>0.72916666666666663</v>
      </c>
      <c r="C66" s="43">
        <v>0.49999999999999822</v>
      </c>
      <c r="D66" s="36">
        <f t="shared" ref="D66:D79" si="7">C47/$D$64</f>
        <v>1.5125</v>
      </c>
      <c r="E66" s="44">
        <v>2</v>
      </c>
      <c r="F66" s="45">
        <f t="shared" ref="F66:F79" si="8">E66*$F$64*C66</f>
        <v>47.999999999999829</v>
      </c>
      <c r="G66" s="51"/>
      <c r="H66" s="51"/>
      <c r="I66" s="51"/>
      <c r="J66" s="51"/>
      <c r="K66" s="51"/>
    </row>
    <row r="67" spans="2:11" ht="15.75" customHeight="1" x14ac:dyDescent="0.2">
      <c r="B67" s="35">
        <v>0.75</v>
      </c>
      <c r="C67" s="43">
        <v>0.99999999999999911</v>
      </c>
      <c r="D67" s="36">
        <f t="shared" si="7"/>
        <v>1.4528846154999999</v>
      </c>
      <c r="E67" s="44">
        <v>2</v>
      </c>
      <c r="F67" s="45">
        <f t="shared" si="8"/>
        <v>95.999999999999915</v>
      </c>
      <c r="G67" s="51"/>
      <c r="H67" s="51"/>
      <c r="I67" s="51"/>
      <c r="J67" s="51"/>
      <c r="K67" s="51"/>
    </row>
    <row r="68" spans="2:11" ht="15.75" customHeight="1" x14ac:dyDescent="0.2">
      <c r="B68" s="35">
        <v>0.77083333333333337</v>
      </c>
      <c r="C68" s="43">
        <v>1.5</v>
      </c>
      <c r="D68" s="36">
        <f t="shared" si="7"/>
        <v>1.1644230769999999</v>
      </c>
      <c r="E68" s="44">
        <v>2</v>
      </c>
      <c r="F68" s="45">
        <f t="shared" si="8"/>
        <v>144</v>
      </c>
      <c r="G68" s="51"/>
      <c r="H68" s="51"/>
      <c r="I68" s="51"/>
      <c r="J68" s="51"/>
      <c r="K68" s="51"/>
    </row>
    <row r="69" spans="2:11" ht="15.75" customHeight="1" x14ac:dyDescent="0.2">
      <c r="B69" s="35">
        <v>0.79166666666666674</v>
      </c>
      <c r="C69" s="43">
        <v>2.0000000000000009</v>
      </c>
      <c r="D69" s="36">
        <f t="shared" si="7"/>
        <v>1.10769230775</v>
      </c>
      <c r="E69" s="44">
        <v>2</v>
      </c>
      <c r="F69" s="45">
        <f t="shared" si="8"/>
        <v>192.00000000000009</v>
      </c>
      <c r="G69" s="51"/>
      <c r="H69" s="51"/>
      <c r="I69" s="51"/>
      <c r="J69" s="51"/>
      <c r="K69" s="51"/>
    </row>
    <row r="70" spans="2:11" ht="15.75" customHeight="1" x14ac:dyDescent="0.2">
      <c r="B70" s="35">
        <v>0.81250000000000011</v>
      </c>
      <c r="C70" s="43">
        <v>2.5000000000000018</v>
      </c>
      <c r="D70" s="36">
        <f t="shared" si="7"/>
        <v>0.85576923075</v>
      </c>
      <c r="E70" s="44">
        <v>1</v>
      </c>
      <c r="F70" s="45">
        <f t="shared" si="8"/>
        <v>120.00000000000009</v>
      </c>
      <c r="G70" s="51"/>
      <c r="H70" s="51"/>
      <c r="I70" s="51"/>
      <c r="J70" s="51"/>
      <c r="K70" s="51"/>
    </row>
    <row r="71" spans="2:11" ht="15.75" customHeight="1" x14ac:dyDescent="0.2">
      <c r="B71" s="35">
        <v>0.83333333333333348</v>
      </c>
      <c r="C71" s="43">
        <v>3.0000000000000027</v>
      </c>
      <c r="D71" s="36">
        <f t="shared" si="7"/>
        <v>0.8</v>
      </c>
      <c r="E71" s="44">
        <v>1</v>
      </c>
      <c r="F71" s="45">
        <f t="shared" si="8"/>
        <v>144.00000000000011</v>
      </c>
      <c r="G71" s="51"/>
      <c r="H71" s="51"/>
      <c r="I71" s="51"/>
      <c r="J71" s="51"/>
      <c r="K71" s="51"/>
    </row>
    <row r="72" spans="2:11" ht="15.75" customHeight="1" x14ac:dyDescent="0.2">
      <c r="B72" s="35">
        <v>0.85416666666666685</v>
      </c>
      <c r="C72" s="43">
        <v>3.5000000000000036</v>
      </c>
      <c r="D72" s="36">
        <f t="shared" si="7"/>
        <v>0.6</v>
      </c>
      <c r="E72" s="44">
        <v>1</v>
      </c>
      <c r="F72" s="45">
        <f t="shared" si="8"/>
        <v>168.00000000000017</v>
      </c>
      <c r="G72" s="51"/>
      <c r="H72" s="51"/>
      <c r="I72" s="51"/>
      <c r="J72" s="51"/>
      <c r="K72" s="51"/>
    </row>
    <row r="73" spans="2:11" ht="15.75" customHeight="1" x14ac:dyDescent="0.2">
      <c r="B73" s="35">
        <v>0.87500000000000022</v>
      </c>
      <c r="C73" s="43">
        <v>4.0000000000000044</v>
      </c>
      <c r="D73" s="36">
        <f t="shared" si="7"/>
        <v>0.57211538449999999</v>
      </c>
      <c r="E73" s="44">
        <v>1</v>
      </c>
      <c r="F73" s="45">
        <f t="shared" si="8"/>
        <v>192.00000000000023</v>
      </c>
      <c r="G73" s="51"/>
      <c r="H73" s="51"/>
      <c r="I73" s="51"/>
      <c r="J73" s="51"/>
      <c r="K73" s="51"/>
    </row>
    <row r="74" spans="2:11" ht="15.75" customHeight="1" x14ac:dyDescent="0.2">
      <c r="B74" s="35">
        <v>0.89583333333333359</v>
      </c>
      <c r="C74" s="43">
        <v>4.5000000000000053</v>
      </c>
      <c r="D74" s="36">
        <f t="shared" si="7"/>
        <v>0.46923076925000001</v>
      </c>
      <c r="E74" s="44">
        <v>1</v>
      </c>
      <c r="F74" s="45">
        <f t="shared" si="8"/>
        <v>216.00000000000026</v>
      </c>
      <c r="G74" s="51"/>
      <c r="H74" s="51"/>
      <c r="I74" s="51"/>
      <c r="J74" s="51"/>
      <c r="K74" s="51"/>
    </row>
    <row r="75" spans="2:11" ht="15.75" customHeight="1" x14ac:dyDescent="0.2">
      <c r="B75" s="35">
        <v>0.91666666666666696</v>
      </c>
      <c r="C75" s="43">
        <v>5.0000000000000062</v>
      </c>
      <c r="D75" s="36">
        <f t="shared" si="7"/>
        <v>0.44615384624999999</v>
      </c>
      <c r="E75" s="44">
        <v>1</v>
      </c>
      <c r="F75" s="45">
        <f t="shared" si="8"/>
        <v>240.00000000000028</v>
      </c>
      <c r="G75" s="51"/>
      <c r="H75" s="51"/>
      <c r="I75" s="51"/>
      <c r="J75" s="51"/>
      <c r="K75" s="51"/>
    </row>
    <row r="76" spans="2:11" ht="15.75" customHeight="1" x14ac:dyDescent="0.2">
      <c r="B76" s="35">
        <v>0.93750000000000033</v>
      </c>
      <c r="C76" s="43">
        <v>5.5000000000000071</v>
      </c>
      <c r="D76" s="36">
        <f t="shared" si="7"/>
        <v>0.35865384625000002</v>
      </c>
      <c r="E76" s="44">
        <v>1</v>
      </c>
      <c r="F76" s="45">
        <f t="shared" si="8"/>
        <v>264.00000000000034</v>
      </c>
      <c r="G76" s="51"/>
      <c r="H76" s="51"/>
      <c r="I76" s="51"/>
      <c r="J76" s="51"/>
      <c r="K76" s="51"/>
    </row>
    <row r="77" spans="2:11" ht="15.75" customHeight="1" x14ac:dyDescent="0.2">
      <c r="B77" s="35">
        <v>0.9583333333333337</v>
      </c>
      <c r="C77" s="43">
        <v>6.000000000000008</v>
      </c>
      <c r="D77" s="36">
        <f t="shared" si="7"/>
        <v>0.35</v>
      </c>
      <c r="E77" s="44">
        <v>1</v>
      </c>
      <c r="F77" s="45">
        <f t="shared" si="8"/>
        <v>288.0000000000004</v>
      </c>
      <c r="G77" s="51"/>
      <c r="H77" s="51"/>
      <c r="I77" s="51"/>
      <c r="J77" s="51"/>
      <c r="K77" s="51"/>
    </row>
    <row r="78" spans="2:11" ht="15.75" customHeight="1" x14ac:dyDescent="0.2">
      <c r="B78" s="35">
        <v>0.97916666666666707</v>
      </c>
      <c r="C78" s="43">
        <v>6.5000000000000089</v>
      </c>
      <c r="D78" s="36">
        <f t="shared" si="7"/>
        <v>0.28942307699999997</v>
      </c>
      <c r="E78" s="44">
        <v>1</v>
      </c>
      <c r="F78" s="45">
        <f t="shared" si="8"/>
        <v>312.00000000000045</v>
      </c>
      <c r="G78" s="51"/>
      <c r="H78" s="51"/>
      <c r="I78" s="51"/>
      <c r="J78" s="51"/>
      <c r="K78" s="51"/>
    </row>
    <row r="79" spans="2:11" ht="15.75" customHeight="1" x14ac:dyDescent="0.2">
      <c r="B79" s="39" t="s">
        <v>51</v>
      </c>
      <c r="C79" s="43">
        <v>6.9999999999999991</v>
      </c>
      <c r="D79" s="36">
        <f t="shared" si="7"/>
        <v>0.25961538449999999</v>
      </c>
      <c r="E79" s="44">
        <v>1</v>
      </c>
      <c r="F79" s="45">
        <f t="shared" si="8"/>
        <v>335.99999999999994</v>
      </c>
      <c r="G79" s="51"/>
      <c r="H79" s="51"/>
      <c r="I79" s="51"/>
      <c r="J79" s="51"/>
      <c r="K79" s="51"/>
    </row>
    <row r="80" spans="2:11" ht="15.75" customHeight="1" x14ac:dyDescent="0.2">
      <c r="B80" s="51"/>
      <c r="C80" s="51"/>
      <c r="D80" s="51"/>
      <c r="E80" s="51"/>
      <c r="G80" s="51"/>
      <c r="H80" s="51"/>
      <c r="I80" s="51"/>
      <c r="J80" s="51"/>
      <c r="K80" s="51"/>
    </row>
    <row r="81" spans="2:11" ht="15.75" customHeight="1" x14ac:dyDescent="0.2">
      <c r="B81" s="1" t="s">
        <v>57</v>
      </c>
      <c r="C81" s="51"/>
      <c r="D81" s="51"/>
      <c r="E81" s="51"/>
      <c r="G81" s="51"/>
      <c r="H81" s="51"/>
      <c r="I81" s="51"/>
      <c r="J81" s="51"/>
      <c r="K81" s="51"/>
    </row>
    <row r="82" spans="2:11" ht="15.75" customHeight="1" x14ac:dyDescent="0.2">
      <c r="B82" s="1"/>
      <c r="C82" s="1"/>
      <c r="D82" s="40">
        <v>2</v>
      </c>
      <c r="E82" s="40">
        <v>4</v>
      </c>
      <c r="F82" s="1"/>
      <c r="G82" s="21">
        <v>72</v>
      </c>
      <c r="H82" s="51"/>
      <c r="I82" s="51"/>
      <c r="J82" s="51"/>
      <c r="K82" s="51"/>
    </row>
    <row r="83" spans="2:11" ht="15.75" customHeight="1" x14ac:dyDescent="0.2">
      <c r="B83" s="34" t="s">
        <v>46</v>
      </c>
      <c r="C83" s="34" t="s">
        <v>53</v>
      </c>
      <c r="D83" s="34" t="s">
        <v>58</v>
      </c>
      <c r="E83" s="34" t="s">
        <v>59</v>
      </c>
      <c r="F83" s="34" t="s">
        <v>60</v>
      </c>
      <c r="G83" s="34" t="s">
        <v>61</v>
      </c>
      <c r="H83" s="51"/>
      <c r="I83" s="51"/>
      <c r="J83" s="51"/>
      <c r="K83" s="51"/>
    </row>
    <row r="84" spans="2:11" ht="15.75" customHeight="1" x14ac:dyDescent="0.2">
      <c r="B84" s="35">
        <v>0.72916666666666663</v>
      </c>
      <c r="C84" s="43">
        <v>0.49999999999999822</v>
      </c>
      <c r="D84" s="43">
        <f t="shared" ref="D84:D97" si="9">SQRT(D47)*$D$82</f>
        <v>5.6189832685282131</v>
      </c>
      <c r="E84" s="43">
        <f t="shared" ref="E84:E97" si="10">D84/$E$82</f>
        <v>1.4047458171320533</v>
      </c>
      <c r="F84" s="46">
        <v>2</v>
      </c>
      <c r="G84" s="47">
        <f t="shared" ref="G84:G97" si="11">F84*$G$82*C84</f>
        <v>71.999999999999744</v>
      </c>
      <c r="H84" s="51"/>
      <c r="I84" s="51"/>
      <c r="J84" s="51"/>
      <c r="K84" s="51"/>
    </row>
    <row r="85" spans="2:11" ht="15.75" customHeight="1" x14ac:dyDescent="0.2">
      <c r="B85" s="35">
        <v>0.75</v>
      </c>
      <c r="C85" s="43">
        <v>0.99999999999999911</v>
      </c>
      <c r="D85" s="43">
        <f t="shared" si="9"/>
        <v>5.3995071771412624</v>
      </c>
      <c r="E85" s="43">
        <f t="shared" si="10"/>
        <v>1.3498767942853156</v>
      </c>
      <c r="F85" s="46">
        <v>2</v>
      </c>
      <c r="G85" s="47">
        <f t="shared" si="11"/>
        <v>143.99999999999989</v>
      </c>
      <c r="H85" s="51"/>
      <c r="I85" s="51"/>
      <c r="J85" s="51"/>
      <c r="K85" s="51"/>
    </row>
    <row r="86" spans="2:11" ht="15.75" customHeight="1" x14ac:dyDescent="0.2">
      <c r="B86" s="35">
        <v>0.77083333333333337</v>
      </c>
      <c r="C86" s="43">
        <v>1.5</v>
      </c>
      <c r="D86" s="43">
        <f t="shared" si="9"/>
        <v>4.8235820577657842</v>
      </c>
      <c r="E86" s="43">
        <f t="shared" si="10"/>
        <v>1.205895514441446</v>
      </c>
      <c r="F86" s="46">
        <v>2</v>
      </c>
      <c r="G86" s="47">
        <f t="shared" si="11"/>
        <v>216</v>
      </c>
      <c r="H86" s="51"/>
      <c r="I86" s="51"/>
      <c r="J86" s="51"/>
      <c r="K86" s="51"/>
    </row>
    <row r="87" spans="2:11" ht="15.75" customHeight="1" x14ac:dyDescent="0.2">
      <c r="B87" s="35">
        <v>0.79166666666666674</v>
      </c>
      <c r="C87" s="43">
        <v>2.0000000000000009</v>
      </c>
      <c r="D87" s="43">
        <f t="shared" si="9"/>
        <v>4.7998613979989049</v>
      </c>
      <c r="E87" s="43">
        <f t="shared" si="10"/>
        <v>1.1999653494997262</v>
      </c>
      <c r="F87" s="46">
        <v>2</v>
      </c>
      <c r="G87" s="47">
        <f t="shared" si="11"/>
        <v>288.00000000000011</v>
      </c>
      <c r="H87" s="51"/>
      <c r="I87" s="51"/>
      <c r="J87" s="51"/>
      <c r="K87" s="51"/>
    </row>
    <row r="88" spans="2:11" ht="15.75" customHeight="1" x14ac:dyDescent="0.2">
      <c r="B88" s="35">
        <v>0.81250000000000011</v>
      </c>
      <c r="C88" s="43">
        <v>2.5000000000000018</v>
      </c>
      <c r="D88" s="43">
        <f t="shared" si="9"/>
        <v>4.3928013039517282</v>
      </c>
      <c r="E88" s="43">
        <f t="shared" si="10"/>
        <v>1.098200325987932</v>
      </c>
      <c r="F88" s="46">
        <v>2</v>
      </c>
      <c r="G88" s="47">
        <f t="shared" si="11"/>
        <v>360.00000000000023</v>
      </c>
      <c r="H88" s="51"/>
      <c r="I88" s="51"/>
      <c r="J88" s="51"/>
      <c r="K88" s="51"/>
    </row>
    <row r="89" spans="2:11" ht="15.75" customHeight="1" x14ac:dyDescent="0.2">
      <c r="B89" s="35">
        <v>0.83333333333333348</v>
      </c>
      <c r="C89" s="43">
        <v>3.0000000000000027</v>
      </c>
      <c r="D89" s="43">
        <f t="shared" si="9"/>
        <v>4.2025915885320098</v>
      </c>
      <c r="E89" s="43">
        <f t="shared" si="10"/>
        <v>1.0506478971330024</v>
      </c>
      <c r="F89" s="46">
        <v>2</v>
      </c>
      <c r="G89" s="47">
        <f t="shared" si="11"/>
        <v>432.0000000000004</v>
      </c>
      <c r="H89" s="51"/>
      <c r="I89" s="51"/>
      <c r="J89" s="51"/>
      <c r="K89" s="51"/>
    </row>
    <row r="90" spans="2:11" ht="15.75" customHeight="1" x14ac:dyDescent="0.2">
      <c r="B90" s="35">
        <v>0.85416666666666685</v>
      </c>
      <c r="C90" s="43">
        <v>3.5000000000000036</v>
      </c>
      <c r="D90" s="43">
        <f t="shared" si="9"/>
        <v>3.5983694290608907</v>
      </c>
      <c r="E90" s="43">
        <f t="shared" si="10"/>
        <v>0.89959235726522269</v>
      </c>
      <c r="F90" s="46">
        <v>1</v>
      </c>
      <c r="G90" s="47">
        <f t="shared" si="11"/>
        <v>252.00000000000026</v>
      </c>
      <c r="H90" s="51"/>
      <c r="I90" s="51"/>
      <c r="J90" s="51"/>
      <c r="K90" s="51"/>
    </row>
    <row r="91" spans="2:11" ht="15.75" customHeight="1" x14ac:dyDescent="0.2">
      <c r="B91" s="35">
        <v>0.87500000000000022</v>
      </c>
      <c r="C91" s="43">
        <v>4.0000000000000044</v>
      </c>
      <c r="D91" s="43">
        <f t="shared" si="9"/>
        <v>3.5267655776929661</v>
      </c>
      <c r="E91" s="43">
        <f t="shared" si="10"/>
        <v>0.88169139442324151</v>
      </c>
      <c r="F91" s="46">
        <v>1</v>
      </c>
      <c r="G91" s="47">
        <f t="shared" si="11"/>
        <v>288.00000000000034</v>
      </c>
      <c r="H91" s="51"/>
      <c r="I91" s="51"/>
      <c r="J91" s="51"/>
      <c r="K91" s="51"/>
    </row>
    <row r="92" spans="2:11" ht="15.75" customHeight="1" x14ac:dyDescent="0.2">
      <c r="B92" s="35">
        <v>0.89583333333333359</v>
      </c>
      <c r="C92" s="43">
        <v>4.5000000000000053</v>
      </c>
      <c r="D92" s="43">
        <f t="shared" si="9"/>
        <v>3.274003225410751</v>
      </c>
      <c r="E92" s="43">
        <f t="shared" si="10"/>
        <v>0.81850080635268774</v>
      </c>
      <c r="F92" s="46">
        <v>1</v>
      </c>
      <c r="G92" s="47">
        <f t="shared" si="11"/>
        <v>324.0000000000004</v>
      </c>
      <c r="H92" s="51"/>
      <c r="I92" s="51"/>
      <c r="J92" s="51"/>
      <c r="K92" s="51"/>
    </row>
    <row r="93" spans="2:11" ht="15.75" customHeight="1" x14ac:dyDescent="0.2">
      <c r="B93" s="35">
        <v>0.91666666666666696</v>
      </c>
      <c r="C93" s="43">
        <v>5.0000000000000062</v>
      </c>
      <c r="D93" s="43">
        <f t="shared" si="9"/>
        <v>3.2595294482486272</v>
      </c>
      <c r="E93" s="43">
        <f t="shared" si="10"/>
        <v>0.81488236206215681</v>
      </c>
      <c r="F93" s="46">
        <v>1</v>
      </c>
      <c r="G93" s="47">
        <f t="shared" si="11"/>
        <v>360.00000000000045</v>
      </c>
      <c r="H93" s="51"/>
      <c r="I93" s="51"/>
      <c r="J93" s="51"/>
      <c r="K93" s="51"/>
    </row>
    <row r="94" spans="2:11" ht="15.75" customHeight="1" x14ac:dyDescent="0.2">
      <c r="B94" s="35">
        <v>0.93750000000000033</v>
      </c>
      <c r="C94" s="43">
        <v>5.5000000000000071</v>
      </c>
      <c r="D94" s="43">
        <f t="shared" si="9"/>
        <v>2.728056605717704</v>
      </c>
      <c r="E94" s="43">
        <f t="shared" si="10"/>
        <v>0.68201415142942601</v>
      </c>
      <c r="F94" s="46">
        <v>1</v>
      </c>
      <c r="G94" s="47">
        <f t="shared" si="11"/>
        <v>396.00000000000051</v>
      </c>
      <c r="H94" s="51"/>
      <c r="I94" s="51"/>
      <c r="J94" s="51"/>
      <c r="K94" s="51"/>
    </row>
    <row r="95" spans="2:11" ht="15.75" customHeight="1" x14ac:dyDescent="0.2">
      <c r="B95" s="35">
        <v>0.9583333333333337</v>
      </c>
      <c r="C95" s="43">
        <v>6.000000000000008</v>
      </c>
      <c r="D95" s="43">
        <f t="shared" si="9"/>
        <v>2.7124765355667133</v>
      </c>
      <c r="E95" s="43">
        <f t="shared" si="10"/>
        <v>0.67811913389167833</v>
      </c>
      <c r="F95" s="46">
        <v>1</v>
      </c>
      <c r="G95" s="47">
        <f t="shared" si="11"/>
        <v>432.00000000000057</v>
      </c>
      <c r="H95" s="51"/>
      <c r="I95" s="51"/>
      <c r="J95" s="51"/>
      <c r="K95" s="51"/>
    </row>
    <row r="96" spans="2:11" ht="15.75" customHeight="1" x14ac:dyDescent="0.2">
      <c r="B96" s="35">
        <v>0.97916666666666707</v>
      </c>
      <c r="C96" s="43">
        <v>6.5000000000000089</v>
      </c>
      <c r="D96" s="43">
        <f t="shared" si="9"/>
        <v>2.548478584567663</v>
      </c>
      <c r="E96" s="43">
        <f t="shared" si="10"/>
        <v>0.63711964614191574</v>
      </c>
      <c r="F96" s="46">
        <v>1</v>
      </c>
      <c r="G96" s="47">
        <f t="shared" si="11"/>
        <v>468.00000000000063</v>
      </c>
      <c r="H96" s="51"/>
      <c r="I96" s="51"/>
      <c r="J96" s="51"/>
      <c r="K96" s="51"/>
    </row>
    <row r="97" spans="2:11" ht="15.75" customHeight="1" x14ac:dyDescent="0.2">
      <c r="B97" s="39" t="s">
        <v>51</v>
      </c>
      <c r="C97" s="43">
        <v>6.9999999999999991</v>
      </c>
      <c r="D97" s="43">
        <f t="shared" si="9"/>
        <v>2.3369299219274846</v>
      </c>
      <c r="E97" s="43">
        <f t="shared" si="10"/>
        <v>0.58423248048187115</v>
      </c>
      <c r="F97" s="46">
        <v>1</v>
      </c>
      <c r="G97" s="47">
        <f t="shared" si="11"/>
        <v>503.99999999999994</v>
      </c>
      <c r="H97" s="51"/>
      <c r="I97" s="51"/>
      <c r="J97" s="51"/>
      <c r="K97" s="51"/>
    </row>
    <row r="98" spans="2:11" ht="15.75" customHeight="1" x14ac:dyDescent="0.2">
      <c r="B98" s="1"/>
      <c r="C98" s="51"/>
      <c r="D98" s="51"/>
      <c r="E98" s="51"/>
      <c r="G98" s="51"/>
      <c r="H98" s="51"/>
      <c r="I98" s="51"/>
      <c r="J98" s="51"/>
      <c r="K98" s="51"/>
    </row>
    <row r="99" spans="2:11" ht="15.75" customHeight="1" x14ac:dyDescent="0.2">
      <c r="B99" s="1" t="s">
        <v>62</v>
      </c>
      <c r="C99" s="51"/>
      <c r="D99" s="51"/>
      <c r="E99" s="51"/>
      <c r="G99" s="51"/>
      <c r="H99" s="51"/>
      <c r="I99" s="51"/>
      <c r="J99" s="51"/>
      <c r="K99" s="51"/>
    </row>
    <row r="100" spans="2:11" ht="15.75" customHeight="1" x14ac:dyDescent="0.2">
      <c r="B100" s="1"/>
      <c r="C100" s="1"/>
      <c r="D100" s="48">
        <v>130</v>
      </c>
      <c r="E100" s="51"/>
      <c r="G100" s="51"/>
      <c r="H100" s="51"/>
      <c r="I100" s="51"/>
      <c r="J100" s="51"/>
      <c r="K100" s="51"/>
    </row>
    <row r="101" spans="2:11" ht="15.75" customHeight="1" x14ac:dyDescent="0.2">
      <c r="B101" s="34" t="s">
        <v>46</v>
      </c>
      <c r="C101" s="34" t="s">
        <v>63</v>
      </c>
      <c r="D101" s="34" t="s">
        <v>64</v>
      </c>
      <c r="E101" s="51"/>
      <c r="G101" s="51"/>
      <c r="H101" s="51"/>
      <c r="I101" s="51"/>
      <c r="J101" s="51"/>
      <c r="K101" s="51"/>
    </row>
    <row r="102" spans="2:11" ht="15.75" customHeight="1" x14ac:dyDescent="0.2">
      <c r="B102" s="35">
        <v>0.72916666666666663</v>
      </c>
      <c r="C102" s="43">
        <f t="shared" ref="C102:C115" si="12">C47+SQRT(D47)*1.96</f>
        <v>11.556603603157647</v>
      </c>
      <c r="D102" s="47">
        <f t="shared" ref="D102:D115" si="13">C102*$D$100</f>
        <v>1502.3584684104942</v>
      </c>
      <c r="E102" s="51"/>
      <c r="G102" s="51"/>
      <c r="H102" s="51"/>
      <c r="I102" s="51"/>
      <c r="J102" s="51"/>
      <c r="K102" s="51"/>
    </row>
    <row r="103" spans="2:11" ht="15.75" customHeight="1" x14ac:dyDescent="0.2">
      <c r="B103" s="35">
        <v>0.75</v>
      </c>
      <c r="C103" s="43">
        <f t="shared" si="12"/>
        <v>11.103055495598436</v>
      </c>
      <c r="D103" s="47">
        <f t="shared" si="13"/>
        <v>1443.3972144277968</v>
      </c>
      <c r="E103" s="51"/>
      <c r="G103" s="51"/>
      <c r="H103" s="51"/>
      <c r="I103" s="51"/>
      <c r="J103" s="51"/>
      <c r="K103" s="51"/>
    </row>
    <row r="104" spans="2:11" ht="15.75" customHeight="1" x14ac:dyDescent="0.2">
      <c r="B104" s="35">
        <v>0.77083333333333337</v>
      </c>
      <c r="C104" s="43">
        <f t="shared" si="12"/>
        <v>9.3848027246104682</v>
      </c>
      <c r="D104" s="47">
        <f t="shared" si="13"/>
        <v>1220.0243541993609</v>
      </c>
      <c r="E104" s="51"/>
      <c r="G104" s="51"/>
      <c r="H104" s="51"/>
      <c r="I104" s="51"/>
      <c r="J104" s="51"/>
      <c r="K104" s="51"/>
    </row>
    <row r="105" spans="2:11" ht="15.75" customHeight="1" x14ac:dyDescent="0.2">
      <c r="B105" s="35">
        <v>0.79166666666666674</v>
      </c>
      <c r="C105" s="43">
        <f t="shared" si="12"/>
        <v>9.1346334010389256</v>
      </c>
      <c r="D105" s="47">
        <f t="shared" si="13"/>
        <v>1187.5023421350604</v>
      </c>
      <c r="E105" s="51"/>
      <c r="G105" s="51"/>
      <c r="H105" s="51"/>
      <c r="I105" s="51"/>
      <c r="J105" s="51"/>
      <c r="K105" s="51"/>
    </row>
    <row r="106" spans="2:11" ht="15.75" customHeight="1" x14ac:dyDescent="0.2">
      <c r="B106" s="35">
        <v>0.81250000000000011</v>
      </c>
      <c r="C106" s="43">
        <f t="shared" si="12"/>
        <v>7.7280222008726938</v>
      </c>
      <c r="D106" s="47">
        <f t="shared" si="13"/>
        <v>1004.6428861134502</v>
      </c>
      <c r="E106" s="51"/>
      <c r="G106" s="51"/>
      <c r="H106" s="51"/>
      <c r="I106" s="51"/>
      <c r="J106" s="51"/>
      <c r="K106" s="51"/>
    </row>
    <row r="107" spans="2:11" ht="15.75" customHeight="1" x14ac:dyDescent="0.2">
      <c r="B107" s="35">
        <v>0.83333333333333348</v>
      </c>
      <c r="C107" s="43">
        <f t="shared" si="12"/>
        <v>7.3185397567613695</v>
      </c>
      <c r="D107" s="47">
        <f t="shared" si="13"/>
        <v>951.41016837897803</v>
      </c>
      <c r="E107" s="51"/>
      <c r="G107" s="51"/>
      <c r="H107" s="51"/>
      <c r="I107" s="51"/>
      <c r="J107" s="51"/>
      <c r="K107" s="51"/>
    </row>
    <row r="108" spans="2:11" ht="15.75" customHeight="1" x14ac:dyDescent="0.2">
      <c r="B108" s="35">
        <v>0.85416666666666685</v>
      </c>
      <c r="C108" s="43">
        <f t="shared" si="12"/>
        <v>5.9264020404796725</v>
      </c>
      <c r="D108" s="47">
        <f t="shared" si="13"/>
        <v>770.43226526235742</v>
      </c>
      <c r="E108" s="51"/>
      <c r="G108" s="51"/>
      <c r="H108" s="51"/>
      <c r="I108" s="51"/>
      <c r="J108" s="51"/>
      <c r="K108" s="51"/>
    </row>
    <row r="109" spans="2:11" ht="15.75" customHeight="1" x14ac:dyDescent="0.2">
      <c r="B109" s="35">
        <v>0.87500000000000022</v>
      </c>
      <c r="C109" s="43">
        <f t="shared" si="12"/>
        <v>5.7446918041391068</v>
      </c>
      <c r="D109" s="47">
        <f t="shared" si="13"/>
        <v>746.80993453808389</v>
      </c>
      <c r="E109" s="51"/>
      <c r="G109" s="51"/>
      <c r="H109" s="51"/>
      <c r="I109" s="51"/>
      <c r="J109" s="51"/>
      <c r="K109" s="51"/>
    </row>
    <row r="110" spans="2:11" ht="15.75" customHeight="1" x14ac:dyDescent="0.2">
      <c r="B110" s="35">
        <v>0.89583333333333359</v>
      </c>
      <c r="C110" s="43">
        <f t="shared" si="12"/>
        <v>5.085446237902536</v>
      </c>
      <c r="D110" s="47">
        <f t="shared" si="13"/>
        <v>661.1080109273297</v>
      </c>
      <c r="E110" s="51"/>
      <c r="G110" s="51"/>
      <c r="H110" s="51"/>
      <c r="I110" s="51"/>
      <c r="J110" s="51"/>
      <c r="K110" s="51"/>
    </row>
    <row r="111" spans="2:11" ht="15.75" customHeight="1" x14ac:dyDescent="0.2">
      <c r="B111" s="35">
        <v>0.91666666666666696</v>
      </c>
      <c r="C111" s="43">
        <f t="shared" si="12"/>
        <v>4.9789542442836545</v>
      </c>
      <c r="D111" s="47">
        <f t="shared" si="13"/>
        <v>647.26405175687512</v>
      </c>
      <c r="E111" s="51"/>
      <c r="G111" s="51"/>
      <c r="H111" s="51"/>
      <c r="I111" s="51"/>
      <c r="J111" s="51"/>
      <c r="K111" s="51"/>
    </row>
    <row r="112" spans="2:11" ht="15.75" customHeight="1" x14ac:dyDescent="0.2">
      <c r="B112" s="35">
        <v>0.93750000000000033</v>
      </c>
      <c r="C112" s="43">
        <f t="shared" si="12"/>
        <v>4.1081108586033501</v>
      </c>
      <c r="D112" s="47">
        <f t="shared" si="13"/>
        <v>534.05441161843555</v>
      </c>
      <c r="E112" s="51"/>
      <c r="G112" s="51"/>
      <c r="H112" s="51"/>
      <c r="I112" s="51"/>
      <c r="J112" s="51"/>
      <c r="K112" s="51"/>
    </row>
    <row r="113" spans="2:11" ht="15.75" customHeight="1" x14ac:dyDescent="0.2">
      <c r="B113" s="35">
        <v>0.9583333333333337</v>
      </c>
      <c r="C113" s="43">
        <f t="shared" si="12"/>
        <v>4.0582270048553788</v>
      </c>
      <c r="D113" s="47">
        <f t="shared" si="13"/>
        <v>527.56951063119925</v>
      </c>
      <c r="E113" s="51"/>
      <c r="G113" s="51"/>
      <c r="H113" s="51"/>
      <c r="I113" s="51"/>
      <c r="J113" s="51"/>
      <c r="K113" s="51"/>
    </row>
    <row r="114" spans="2:11" ht="15.75" customHeight="1" x14ac:dyDescent="0.2">
      <c r="B114" s="35">
        <v>0.97916666666666707</v>
      </c>
      <c r="C114" s="43">
        <f t="shared" si="12"/>
        <v>3.6552013208763094</v>
      </c>
      <c r="D114" s="47">
        <f t="shared" si="13"/>
        <v>475.17617171392021</v>
      </c>
      <c r="E114" s="51"/>
      <c r="G114" s="51"/>
      <c r="H114" s="51"/>
      <c r="I114" s="51"/>
      <c r="J114" s="51"/>
      <c r="K114" s="51"/>
    </row>
    <row r="115" spans="2:11" ht="15.75" customHeight="1" x14ac:dyDescent="0.2">
      <c r="B115" s="39" t="s">
        <v>51</v>
      </c>
      <c r="C115" s="43">
        <f t="shared" si="12"/>
        <v>3.3286528614889348</v>
      </c>
      <c r="D115" s="47">
        <f t="shared" si="13"/>
        <v>432.72487199356152</v>
      </c>
      <c r="E115" s="51"/>
      <c r="G115" s="51"/>
      <c r="H115" s="51"/>
      <c r="I115" s="51"/>
      <c r="J115" s="51"/>
      <c r="K115" s="51"/>
    </row>
    <row r="116" spans="2:11" ht="15.75" customHeight="1" x14ac:dyDescent="0.2">
      <c r="B116" s="1"/>
      <c r="C116" s="51"/>
      <c r="D116" s="51"/>
      <c r="E116" s="51"/>
      <c r="G116" s="51"/>
      <c r="H116" s="51"/>
      <c r="I116" s="51"/>
      <c r="J116" s="51"/>
      <c r="K116" s="51"/>
    </row>
    <row r="117" spans="2:11" ht="15.75" customHeight="1" x14ac:dyDescent="0.2">
      <c r="B117" s="1"/>
      <c r="C117" s="51"/>
      <c r="D117" s="51"/>
      <c r="E117" s="51"/>
      <c r="G117" s="51"/>
      <c r="H117" s="51"/>
      <c r="I117" s="51"/>
      <c r="J117" s="51"/>
      <c r="K117" s="51"/>
    </row>
    <row r="118" spans="2:11" ht="15.75" customHeight="1" x14ac:dyDescent="0.2">
      <c r="B118" s="1"/>
      <c r="C118" s="51"/>
      <c r="D118" s="51"/>
      <c r="E118" s="51"/>
      <c r="G118" s="51"/>
      <c r="H118" s="51"/>
      <c r="I118" s="51"/>
      <c r="J118" s="51"/>
      <c r="K118" s="51"/>
    </row>
    <row r="119" spans="2:11" ht="15.75" customHeight="1" x14ac:dyDescent="0.2">
      <c r="B119" s="1"/>
      <c r="C119" s="51"/>
      <c r="D119" s="51"/>
      <c r="E119" s="51"/>
      <c r="G119" s="51"/>
      <c r="H119" s="51"/>
      <c r="I119" s="51"/>
      <c r="J119" s="51"/>
      <c r="K119" s="51"/>
    </row>
    <row r="120" spans="2:11" ht="15.75" customHeight="1" x14ac:dyDescent="0.2">
      <c r="B120" s="1" t="s">
        <v>40</v>
      </c>
      <c r="C120" s="51"/>
      <c r="D120" s="51"/>
      <c r="E120" s="51"/>
      <c r="G120" s="51"/>
      <c r="H120" s="51"/>
      <c r="I120" s="51"/>
      <c r="J120" s="51"/>
      <c r="K120" s="51"/>
    </row>
    <row r="121" spans="2:11" ht="15.75" customHeight="1" x14ac:dyDescent="0.2">
      <c r="B121" s="34" t="s">
        <v>46</v>
      </c>
      <c r="C121" s="42" t="s">
        <v>65</v>
      </c>
      <c r="D121" s="42" t="s">
        <v>66</v>
      </c>
      <c r="E121" s="42" t="s">
        <v>40</v>
      </c>
      <c r="G121" s="51"/>
      <c r="H121" s="51"/>
      <c r="I121" s="51"/>
      <c r="J121" s="51"/>
      <c r="K121" s="51"/>
    </row>
    <row r="122" spans="2:11" ht="15.75" customHeight="1" x14ac:dyDescent="0.2">
      <c r="B122" s="35">
        <v>0.72916666666666663</v>
      </c>
      <c r="C122" s="47">
        <f t="shared" ref="C122:C135" si="14">F66+G84</f>
        <v>119.99999999999957</v>
      </c>
      <c r="D122" s="47">
        <f t="shared" ref="D122:D135" si="15">D102</f>
        <v>1502.3584684104942</v>
      </c>
      <c r="E122" s="47">
        <f t="shared" ref="E122:E135" si="16">C122+D122</f>
        <v>1622.3584684104937</v>
      </c>
      <c r="F122" s="49">
        <f t="shared" ref="F122:F135" si="17">RANK(E122,$E$122:$E$135,1)</f>
        <v>12</v>
      </c>
      <c r="G122" s="51"/>
      <c r="H122" s="51"/>
      <c r="I122" s="51"/>
      <c r="J122" s="51"/>
      <c r="K122" s="51"/>
    </row>
    <row r="123" spans="2:11" ht="15.75" customHeight="1" x14ac:dyDescent="0.2">
      <c r="B123" s="35">
        <v>0.75</v>
      </c>
      <c r="C123" s="47">
        <f t="shared" si="14"/>
        <v>239.9999999999998</v>
      </c>
      <c r="D123" s="47">
        <f t="shared" si="15"/>
        <v>1443.3972144277968</v>
      </c>
      <c r="E123" s="47">
        <f t="shared" si="16"/>
        <v>1683.3972144277966</v>
      </c>
      <c r="F123" s="49">
        <f t="shared" si="17"/>
        <v>14</v>
      </c>
      <c r="G123" s="51"/>
      <c r="H123" s="51"/>
      <c r="I123" s="51"/>
      <c r="J123" s="51"/>
      <c r="K123" s="51"/>
    </row>
    <row r="124" spans="2:11" ht="15.75" customHeight="1" x14ac:dyDescent="0.2">
      <c r="B124" s="35">
        <v>0.77083333333333337</v>
      </c>
      <c r="C124" s="47">
        <f t="shared" si="14"/>
        <v>360</v>
      </c>
      <c r="D124" s="47">
        <f t="shared" si="15"/>
        <v>1220.0243541993609</v>
      </c>
      <c r="E124" s="47">
        <f t="shared" si="16"/>
        <v>1580.0243541993609</v>
      </c>
      <c r="F124" s="49">
        <f t="shared" si="17"/>
        <v>11</v>
      </c>
      <c r="G124" s="51"/>
      <c r="H124" s="51"/>
      <c r="I124" s="51"/>
      <c r="J124" s="51"/>
      <c r="K124" s="51"/>
    </row>
    <row r="125" spans="2:11" ht="15.75" customHeight="1" x14ac:dyDescent="0.2">
      <c r="B125" s="35">
        <v>0.79166666666666674</v>
      </c>
      <c r="C125" s="47">
        <f t="shared" si="14"/>
        <v>480.00000000000023</v>
      </c>
      <c r="D125" s="47">
        <f t="shared" si="15"/>
        <v>1187.5023421350604</v>
      </c>
      <c r="E125" s="47">
        <f t="shared" si="16"/>
        <v>1667.5023421350606</v>
      </c>
      <c r="F125" s="49">
        <f t="shared" si="17"/>
        <v>13</v>
      </c>
      <c r="G125" s="51"/>
      <c r="H125" s="51"/>
      <c r="I125" s="51"/>
      <c r="J125" s="51"/>
      <c r="K125" s="51"/>
    </row>
    <row r="126" spans="2:11" ht="15.75" customHeight="1" x14ac:dyDescent="0.2">
      <c r="B126" s="35">
        <v>0.81250000000000011</v>
      </c>
      <c r="C126" s="47">
        <f t="shared" si="14"/>
        <v>480.00000000000034</v>
      </c>
      <c r="D126" s="47">
        <f t="shared" si="15"/>
        <v>1004.6428861134502</v>
      </c>
      <c r="E126" s="47">
        <f t="shared" si="16"/>
        <v>1484.6428861134505</v>
      </c>
      <c r="F126" s="49">
        <f t="shared" si="17"/>
        <v>9</v>
      </c>
      <c r="G126" s="51"/>
      <c r="H126" s="51"/>
      <c r="I126" s="51"/>
      <c r="J126" s="51"/>
      <c r="K126" s="51"/>
    </row>
    <row r="127" spans="2:11" ht="15.75" customHeight="1" x14ac:dyDescent="0.2">
      <c r="B127" s="35">
        <v>0.83333333333333348</v>
      </c>
      <c r="C127" s="47">
        <f t="shared" si="14"/>
        <v>576.00000000000045</v>
      </c>
      <c r="D127" s="47">
        <f t="shared" si="15"/>
        <v>951.41016837897803</v>
      </c>
      <c r="E127" s="47">
        <f t="shared" si="16"/>
        <v>1527.4101683789786</v>
      </c>
      <c r="F127" s="49">
        <f t="shared" si="17"/>
        <v>10</v>
      </c>
      <c r="G127" s="51"/>
      <c r="H127" s="51"/>
      <c r="I127" s="51"/>
      <c r="J127" s="51"/>
      <c r="K127" s="51"/>
    </row>
    <row r="128" spans="2:11" ht="15.75" customHeight="1" x14ac:dyDescent="0.2">
      <c r="B128" s="35">
        <v>0.85416666666666685</v>
      </c>
      <c r="C128" s="47">
        <f t="shared" si="14"/>
        <v>420.00000000000045</v>
      </c>
      <c r="D128" s="47">
        <f t="shared" si="15"/>
        <v>770.43226526235742</v>
      </c>
      <c r="E128" s="47">
        <f t="shared" si="16"/>
        <v>1190.4322652623578</v>
      </c>
      <c r="F128" s="49">
        <f t="shared" si="17"/>
        <v>1</v>
      </c>
      <c r="G128" s="51"/>
      <c r="H128" s="51"/>
      <c r="I128" s="51"/>
      <c r="J128" s="51"/>
      <c r="K128" s="51"/>
    </row>
    <row r="129" spans="2:11" ht="15.75" customHeight="1" x14ac:dyDescent="0.2">
      <c r="B129" s="35">
        <v>0.87500000000000022</v>
      </c>
      <c r="C129" s="47">
        <f t="shared" si="14"/>
        <v>480.00000000000057</v>
      </c>
      <c r="D129" s="47">
        <f t="shared" si="15"/>
        <v>746.80993453808389</v>
      </c>
      <c r="E129" s="47">
        <f t="shared" si="16"/>
        <v>1226.8099345380845</v>
      </c>
      <c r="F129" s="49">
        <f t="shared" si="17"/>
        <v>4</v>
      </c>
      <c r="G129" s="51"/>
      <c r="H129" s="51"/>
      <c r="I129" s="51"/>
      <c r="J129" s="51"/>
      <c r="K129" s="51"/>
    </row>
    <row r="130" spans="2:11" ht="15.75" customHeight="1" x14ac:dyDescent="0.2">
      <c r="B130" s="35">
        <v>0.89583333333333359</v>
      </c>
      <c r="C130" s="47">
        <f t="shared" si="14"/>
        <v>540.00000000000068</v>
      </c>
      <c r="D130" s="47">
        <f t="shared" si="15"/>
        <v>661.1080109273297</v>
      </c>
      <c r="E130" s="47">
        <f t="shared" si="16"/>
        <v>1201.1080109273303</v>
      </c>
      <c r="F130" s="49">
        <f t="shared" si="17"/>
        <v>3</v>
      </c>
      <c r="G130" s="51"/>
      <c r="H130" s="51"/>
      <c r="I130" s="51"/>
      <c r="J130" s="51"/>
      <c r="K130" s="51"/>
    </row>
    <row r="131" spans="2:11" ht="15.75" customHeight="1" x14ac:dyDescent="0.2">
      <c r="B131" s="35">
        <v>0.91666666666666696</v>
      </c>
      <c r="C131" s="47">
        <f t="shared" si="14"/>
        <v>600.00000000000068</v>
      </c>
      <c r="D131" s="47">
        <f t="shared" si="15"/>
        <v>647.26405175687512</v>
      </c>
      <c r="E131" s="47">
        <f t="shared" si="16"/>
        <v>1247.2640517568757</v>
      </c>
      <c r="F131" s="49">
        <f t="shared" si="17"/>
        <v>5</v>
      </c>
      <c r="G131" s="51"/>
      <c r="H131" s="51"/>
      <c r="I131" s="51"/>
      <c r="J131" s="51"/>
      <c r="K131" s="51"/>
    </row>
    <row r="132" spans="2:11" ht="15.75" customHeight="1" x14ac:dyDescent="0.2">
      <c r="B132" s="35">
        <v>0.93750000000000033</v>
      </c>
      <c r="C132" s="47">
        <f t="shared" si="14"/>
        <v>660.00000000000091</v>
      </c>
      <c r="D132" s="47">
        <f t="shared" si="15"/>
        <v>534.05441161843555</v>
      </c>
      <c r="E132" s="47">
        <f t="shared" si="16"/>
        <v>1194.0544116184365</v>
      </c>
      <c r="F132" s="49">
        <f t="shared" si="17"/>
        <v>2</v>
      </c>
      <c r="G132" s="51"/>
      <c r="H132" s="51"/>
      <c r="I132" s="51"/>
      <c r="J132" s="51"/>
      <c r="K132" s="51"/>
    </row>
    <row r="133" spans="2:11" ht="15.75" customHeight="1" x14ac:dyDescent="0.2">
      <c r="B133" s="35">
        <v>0.9583333333333337</v>
      </c>
      <c r="C133" s="47">
        <f t="shared" si="14"/>
        <v>720.00000000000091</v>
      </c>
      <c r="D133" s="47">
        <f t="shared" si="15"/>
        <v>527.56951063119925</v>
      </c>
      <c r="E133" s="47">
        <f t="shared" si="16"/>
        <v>1247.5695106312</v>
      </c>
      <c r="F133" s="49">
        <f t="shared" si="17"/>
        <v>6</v>
      </c>
      <c r="G133" s="51"/>
      <c r="H133" s="51"/>
      <c r="I133" s="51"/>
      <c r="J133" s="51"/>
      <c r="K133" s="51"/>
    </row>
    <row r="134" spans="2:11" ht="15.75" customHeight="1" x14ac:dyDescent="0.2">
      <c r="B134" s="35">
        <v>0.97916666666666707</v>
      </c>
      <c r="C134" s="47">
        <f t="shared" si="14"/>
        <v>780.00000000000114</v>
      </c>
      <c r="D134" s="47">
        <f t="shared" si="15"/>
        <v>475.17617171392021</v>
      </c>
      <c r="E134" s="47">
        <f t="shared" si="16"/>
        <v>1255.1761717139213</v>
      </c>
      <c r="F134" s="49">
        <f t="shared" si="17"/>
        <v>7</v>
      </c>
      <c r="G134" s="51"/>
      <c r="H134" s="51"/>
      <c r="I134" s="51"/>
      <c r="J134" s="51"/>
      <c r="K134" s="51"/>
    </row>
    <row r="135" spans="2:11" ht="15.75" customHeight="1" x14ac:dyDescent="0.2">
      <c r="B135" s="39" t="s">
        <v>51</v>
      </c>
      <c r="C135" s="47">
        <f t="shared" si="14"/>
        <v>839.99999999999989</v>
      </c>
      <c r="D135" s="47">
        <f t="shared" si="15"/>
        <v>432.72487199356152</v>
      </c>
      <c r="E135" s="47">
        <f t="shared" si="16"/>
        <v>1272.7248719935615</v>
      </c>
      <c r="F135" s="49">
        <f t="shared" si="17"/>
        <v>8</v>
      </c>
      <c r="G135" s="51"/>
      <c r="H135" s="51"/>
      <c r="I135" s="51"/>
      <c r="J135" s="51"/>
      <c r="K135" s="51"/>
    </row>
    <row r="136" spans="2:11" ht="15.75" customHeight="1" x14ac:dyDescent="0.2">
      <c r="B136" s="1"/>
      <c r="C136" s="51"/>
      <c r="D136" s="51"/>
      <c r="E136" s="51"/>
      <c r="G136" s="51"/>
      <c r="H136" s="51"/>
      <c r="I136" s="51"/>
      <c r="J136" s="51"/>
      <c r="K136" s="51"/>
    </row>
    <row r="137" spans="2:11" ht="15.75" customHeight="1" x14ac:dyDescent="0.2">
      <c r="B137" s="1"/>
      <c r="C137" s="51"/>
      <c r="D137" s="51"/>
      <c r="E137" s="51"/>
      <c r="G137" s="51"/>
      <c r="H137" s="51"/>
      <c r="I137" s="51"/>
      <c r="J137" s="51"/>
      <c r="K137" s="51"/>
    </row>
    <row r="138" spans="2:11" ht="15.75" customHeight="1" x14ac:dyDescent="0.2">
      <c r="B138" s="1" t="s">
        <v>67</v>
      </c>
      <c r="C138" s="51"/>
      <c r="D138" s="51"/>
      <c r="E138" s="51"/>
      <c r="G138" s="51"/>
      <c r="H138" s="51"/>
      <c r="I138" s="51"/>
      <c r="J138" s="51"/>
      <c r="K138" s="51"/>
    </row>
    <row r="139" spans="2:11" ht="63.75" x14ac:dyDescent="0.2">
      <c r="B139" s="52" t="s">
        <v>14</v>
      </c>
      <c r="C139" s="52" t="s">
        <v>68</v>
      </c>
      <c r="D139" s="52" t="s">
        <v>69</v>
      </c>
      <c r="E139" s="52" t="s">
        <v>70</v>
      </c>
      <c r="G139" s="51"/>
      <c r="H139" s="52" t="s">
        <v>14</v>
      </c>
      <c r="I139" s="52" t="s">
        <v>68</v>
      </c>
      <c r="J139" s="52" t="s">
        <v>69</v>
      </c>
      <c r="K139" s="52" t="s">
        <v>70</v>
      </c>
    </row>
    <row r="140" spans="2:11" ht="25.5" x14ac:dyDescent="0.2">
      <c r="B140" s="53" t="s">
        <v>71</v>
      </c>
      <c r="C140" s="53" t="s">
        <v>72</v>
      </c>
      <c r="D140" s="53" t="s">
        <v>73</v>
      </c>
      <c r="E140" s="53">
        <v>152</v>
      </c>
      <c r="G140" s="54"/>
      <c r="H140" s="53" t="s">
        <v>71</v>
      </c>
      <c r="I140" s="53" t="s">
        <v>72</v>
      </c>
      <c r="J140" s="53" t="s">
        <v>73</v>
      </c>
      <c r="K140" s="53">
        <v>152</v>
      </c>
    </row>
    <row r="141" spans="2:11" ht="38.25" x14ac:dyDescent="0.2">
      <c r="B141" s="53" t="s">
        <v>74</v>
      </c>
      <c r="C141" s="53"/>
      <c r="D141" s="53"/>
      <c r="E141" s="55"/>
      <c r="G141" s="54"/>
      <c r="H141" s="53" t="s">
        <v>74</v>
      </c>
      <c r="I141" s="53" t="s">
        <v>75</v>
      </c>
      <c r="J141" s="53" t="s">
        <v>76</v>
      </c>
      <c r="K141" s="55">
        <v>205</v>
      </c>
    </row>
    <row r="142" spans="2:11" ht="38.25" x14ac:dyDescent="0.2">
      <c r="B142" s="53" t="s">
        <v>77</v>
      </c>
      <c r="C142" s="53"/>
      <c r="D142" s="53"/>
      <c r="E142" s="53"/>
      <c r="G142" s="54"/>
      <c r="H142" s="53" t="s">
        <v>77</v>
      </c>
      <c r="I142" s="53" t="s">
        <v>78</v>
      </c>
      <c r="J142" s="53" t="s">
        <v>79</v>
      </c>
      <c r="K142" s="53">
        <v>103</v>
      </c>
    </row>
    <row r="143" spans="2:11" ht="38.25" x14ac:dyDescent="0.2">
      <c r="B143" s="53" t="s">
        <v>80</v>
      </c>
      <c r="C143" s="53"/>
      <c r="D143" s="53"/>
      <c r="E143" s="53"/>
      <c r="G143" s="54"/>
      <c r="H143" s="53" t="s">
        <v>80</v>
      </c>
      <c r="I143" s="53" t="s">
        <v>81</v>
      </c>
      <c r="J143" s="53" t="s">
        <v>82</v>
      </c>
      <c r="K143" s="53">
        <v>143</v>
      </c>
    </row>
    <row r="144" spans="2:11" ht="38.25" x14ac:dyDescent="0.2">
      <c r="B144" s="53" t="s">
        <v>83</v>
      </c>
      <c r="C144" s="53"/>
      <c r="D144" s="53"/>
      <c r="E144" s="53"/>
      <c r="G144" s="54"/>
      <c r="H144" s="53" t="s">
        <v>83</v>
      </c>
      <c r="I144" s="53" t="s">
        <v>84</v>
      </c>
      <c r="J144" s="53" t="s">
        <v>85</v>
      </c>
      <c r="K144" s="53">
        <v>171</v>
      </c>
    </row>
    <row r="147" spans="2:12" ht="12.75" x14ac:dyDescent="0.2">
      <c r="B147" s="1" t="s">
        <v>86</v>
      </c>
    </row>
    <row r="148" spans="2:12" ht="63.75" x14ac:dyDescent="0.2">
      <c r="B148" s="52" t="s">
        <v>14</v>
      </c>
      <c r="C148" s="52" t="s">
        <v>87</v>
      </c>
      <c r="D148" s="52" t="s">
        <v>70</v>
      </c>
      <c r="E148" s="52" t="s">
        <v>88</v>
      </c>
      <c r="F148" s="52" t="s">
        <v>89</v>
      </c>
      <c r="H148" s="52" t="s">
        <v>14</v>
      </c>
      <c r="I148" s="52" t="s">
        <v>87</v>
      </c>
      <c r="J148" s="52" t="s">
        <v>70</v>
      </c>
      <c r="K148" s="52" t="s">
        <v>88</v>
      </c>
      <c r="L148" s="52" t="s">
        <v>89</v>
      </c>
    </row>
    <row r="149" spans="2:12" ht="12.75" x14ac:dyDescent="0.2">
      <c r="B149" s="53" t="s">
        <v>71</v>
      </c>
      <c r="C149" s="53">
        <v>7402</v>
      </c>
      <c r="D149" s="53">
        <v>152</v>
      </c>
      <c r="E149" s="56">
        <v>0.68500000000000005</v>
      </c>
      <c r="F149" s="56">
        <v>0.41399999999999998</v>
      </c>
      <c r="H149" s="53" t="s">
        <v>71</v>
      </c>
      <c r="I149" s="53">
        <v>7402</v>
      </c>
      <c r="J149" s="53">
        <v>152</v>
      </c>
      <c r="K149" s="56">
        <v>0.68500000000000005</v>
      </c>
      <c r="L149" s="56">
        <v>0.41399999999999998</v>
      </c>
    </row>
    <row r="150" spans="2:12" ht="38.25" x14ac:dyDescent="0.2">
      <c r="B150" s="53" t="s">
        <v>74</v>
      </c>
      <c r="C150" s="53">
        <v>7402</v>
      </c>
      <c r="D150" s="55"/>
      <c r="E150" s="57"/>
      <c r="F150" s="57"/>
      <c r="H150" s="53" t="s">
        <v>74</v>
      </c>
      <c r="I150" s="53">
        <v>7402</v>
      </c>
      <c r="J150" s="55">
        <v>205</v>
      </c>
      <c r="K150" s="57">
        <v>0.69599999999999995</v>
      </c>
      <c r="L150" s="57">
        <v>0.41499999999999998</v>
      </c>
    </row>
    <row r="151" spans="2:12" ht="38.25" x14ac:dyDescent="0.2">
      <c r="B151" s="53" t="s">
        <v>77</v>
      </c>
      <c r="C151" s="53">
        <v>7402</v>
      </c>
      <c r="D151" s="53"/>
      <c r="E151" s="56"/>
      <c r="F151" s="56"/>
      <c r="H151" s="53" t="s">
        <v>77</v>
      </c>
      <c r="I151" s="53">
        <v>7402</v>
      </c>
      <c r="J151" s="53">
        <v>103</v>
      </c>
      <c r="K151" s="56">
        <v>0.67500000000000004</v>
      </c>
      <c r="L151" s="56">
        <v>0.40899999999999997</v>
      </c>
    </row>
    <row r="152" spans="2:12" ht="38.25" x14ac:dyDescent="0.2">
      <c r="B152" s="53" t="s">
        <v>80</v>
      </c>
      <c r="C152" s="53">
        <v>7402</v>
      </c>
      <c r="D152" s="53"/>
      <c r="E152" s="56"/>
      <c r="F152" s="56"/>
      <c r="H152" s="53" t="s">
        <v>80</v>
      </c>
      <c r="I152" s="53">
        <v>7402</v>
      </c>
      <c r="J152" s="53">
        <v>143</v>
      </c>
      <c r="K152" s="56">
        <v>0.68500000000000005</v>
      </c>
      <c r="L152" s="56">
        <v>0.41499999999999998</v>
      </c>
    </row>
    <row r="153" spans="2:12" ht="38.25" x14ac:dyDescent="0.2">
      <c r="B153" s="53" t="s">
        <v>83</v>
      </c>
      <c r="C153" s="53">
        <v>7402</v>
      </c>
      <c r="D153" s="53"/>
      <c r="E153" s="56"/>
      <c r="F153" s="56"/>
      <c r="H153" s="53" t="s">
        <v>83</v>
      </c>
      <c r="I153" s="53">
        <v>7402</v>
      </c>
      <c r="J153" s="53">
        <v>171</v>
      </c>
      <c r="K153" s="56">
        <v>0.68600000000000005</v>
      </c>
      <c r="L153" s="56">
        <v>0.41099999999999998</v>
      </c>
    </row>
  </sheetData>
  <conditionalFormatting sqref="J32:J42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Table</vt:lpstr>
      <vt:lpstr>Assignment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Cindie</dc:creator>
  <cp:lastModifiedBy>Cindie</cp:lastModifiedBy>
  <dcterms:created xsi:type="dcterms:W3CDTF">2020-02-27T19:06:15Z</dcterms:created>
  <dcterms:modified xsi:type="dcterms:W3CDTF">2020-02-27T19:08:49Z</dcterms:modified>
</cp:coreProperties>
</file>