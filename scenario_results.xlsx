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Waterloo\Management Eng\3B\MSE 333\Project\"/>
    </mc:Choice>
  </mc:AlternateContent>
  <xr:revisionPtr revIDLastSave="0" documentId="13_ncr:1_{5F72E677-DF51-4BA6-880C-24B5CEFC2A3B}" xr6:coauthVersionLast="47" xr6:coauthVersionMax="47" xr10:uidLastSave="{00000000-0000-0000-0000-000000000000}"/>
  <bookViews>
    <workbookView xWindow="-120" yWindow="-120" windowWidth="29040" windowHeight="15840" xr2:uid="{29AD6F33-5C3E-4BAA-94C3-80F8565797D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2" i="2" l="1"/>
  <c r="AH34" i="2"/>
  <c r="AH26" i="2"/>
  <c r="AH18" i="2"/>
  <c r="AH10" i="2"/>
  <c r="AH2" i="2"/>
  <c r="AD26" i="2"/>
  <c r="AD18" i="2"/>
  <c r="AD10" i="2"/>
  <c r="AD2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" i="2"/>
  <c r="X4" i="2"/>
  <c r="X5" i="2"/>
  <c r="X6" i="2"/>
  <c r="X7" i="2"/>
  <c r="X2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4" i="2"/>
  <c r="W3" i="2"/>
  <c r="W2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" i="2"/>
  <c r="U4" i="2"/>
  <c r="U5" i="2"/>
  <c r="U6" i="2"/>
  <c r="U7" i="2"/>
  <c r="U2" i="2"/>
  <c r="O7" i="2"/>
  <c r="O6" i="2"/>
  <c r="O5" i="2"/>
  <c r="O4" i="2"/>
  <c r="O3" i="2"/>
  <c r="N7" i="2"/>
  <c r="N6" i="2"/>
  <c r="N5" i="2"/>
  <c r="N4" i="2"/>
  <c r="N3" i="2"/>
  <c r="O2" i="2"/>
  <c r="L2" i="2"/>
  <c r="M7" i="2"/>
  <c r="L7" i="2"/>
  <c r="Q7" i="2" s="1"/>
  <c r="M6" i="2"/>
  <c r="L6" i="2"/>
  <c r="M5" i="2"/>
  <c r="L5" i="2"/>
  <c r="M4" i="2"/>
  <c r="L4" i="2"/>
  <c r="M3" i="2"/>
  <c r="L3" i="2"/>
  <c r="N2" i="2"/>
  <c r="M2" i="2"/>
  <c r="Q3" i="2" l="1"/>
  <c r="Q4" i="2"/>
  <c r="Q5" i="2"/>
  <c r="Q2" i="2"/>
  <c r="Q6" i="2"/>
  <c r="P2" i="2"/>
  <c r="P3" i="2"/>
  <c r="P4" i="2"/>
  <c r="P5" i="2"/>
  <c r="P6" i="2"/>
  <c r="P7" i="2"/>
</calcChain>
</file>

<file path=xl/sharedStrings.xml><?xml version="1.0" encoding="utf-8"?>
<sst xmlns="http://schemas.openxmlformats.org/spreadsheetml/2006/main" count="186" uniqueCount="54">
  <si>
    <t>Average</t>
  </si>
  <si>
    <t>Configuration</t>
  </si>
  <si>
    <t>Reneging Rate</t>
  </si>
  <si>
    <t>CATH Wait Time</t>
  </si>
  <si>
    <t>EP Wait Time</t>
  </si>
  <si>
    <t>Hold For Bay Queue Time</t>
  </si>
  <si>
    <t>Bay Utilization</t>
  </si>
  <si>
    <t>Lab Utilization</t>
  </si>
  <si>
    <t># of Reneges</t>
  </si>
  <si>
    <t># of Seized Bays</t>
  </si>
  <si>
    <t>11 Bays, 8 PM</t>
  </si>
  <si>
    <t>11 Bays, 10 PM</t>
  </si>
  <si>
    <t>11 Bays, 12 AM</t>
  </si>
  <si>
    <t>12 Bays, 8 PM</t>
  </si>
  <si>
    <t>12 Bays, 10 PM</t>
  </si>
  <si>
    <t>12 Bays, 12 AM</t>
  </si>
  <si>
    <t>13 Bays, 8 PM</t>
  </si>
  <si>
    <t>13 Bays, 10 PM</t>
  </si>
  <si>
    <t>13 Bays, 12 AM</t>
  </si>
  <si>
    <t>14 Bays, 8 PM</t>
  </si>
  <si>
    <t>14 Bays, 10 PM</t>
  </si>
  <si>
    <t>14 Bays, 12 AM</t>
  </si>
  <si>
    <t>15 Bays, 8 PM</t>
  </si>
  <si>
    <t>15 Bays, 10 PM</t>
  </si>
  <si>
    <t>15 Bays, 12 AM</t>
  </si>
  <si>
    <t>16 Bays, 8 PM</t>
  </si>
  <si>
    <t>16 Bays, 10 PM</t>
  </si>
  <si>
    <t>16 Bays, 12 AM</t>
  </si>
  <si>
    <t>17 Bays, 8 PM</t>
  </si>
  <si>
    <t>17 Bays, 10 PM</t>
  </si>
  <si>
    <t>17 Bays, 12 AM</t>
  </si>
  <si>
    <t>18 Bays, 8 PM</t>
  </si>
  <si>
    <t>18 Bays, 10 PM</t>
  </si>
  <si>
    <t>18 Bays, 12 AM</t>
  </si>
  <si>
    <t>19 Bays, 8 PM</t>
  </si>
  <si>
    <t>19 Bays, 10 PM</t>
  </si>
  <si>
    <t>19 Bays, 12 AM</t>
  </si>
  <si>
    <t>20 Bays, 8 PM</t>
  </si>
  <si>
    <t>20 Bays, 10 PM</t>
  </si>
  <si>
    <t>20 Bays, 12 AM</t>
  </si>
  <si>
    <t>21 Bays, 8 PM</t>
  </si>
  <si>
    <t>21 Bays, 10 PM</t>
  </si>
  <si>
    <t>21 Bays, 12 AM</t>
  </si>
  <si>
    <t>Metric</t>
  </si>
  <si>
    <t>Minimum</t>
  </si>
  <si>
    <t>Maximum</t>
  </si>
  <si>
    <t>Standard Deviation</t>
  </si>
  <si>
    <t>Idle Bays Cost</t>
  </si>
  <si>
    <t>Total Wait Time</t>
  </si>
  <si>
    <t>Total Cost</t>
  </si>
  <si>
    <t>Confidence Interval (Lower Bound)</t>
  </si>
  <si>
    <t>Confidence Interval (Upper Bound)</t>
  </si>
  <si>
    <t>Cost of Reneging (Cancellation Costs)</t>
  </si>
  <si>
    <t>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</si>
</sst>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5" formatCode="0.000"/>
    <numFmt numFmtId="174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4" fontId="0" fillId="0" borderId="0" xfId="0" applyNumberFormat="1" applyBorder="1" applyAlignment="1">
      <alignment vertical="center" wrapText="1"/>
    </xf>
    <xf numFmtId="165" fontId="0" fillId="0" borderId="0" xfId="0" applyNumberFormat="1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174" fontId="0" fillId="0" borderId="7" xfId="0" applyNumberFormat="1" applyBorder="1" applyAlignment="1">
      <alignment vertical="center" wrapText="1"/>
    </xf>
    <xf numFmtId="165" fontId="0" fillId="0" borderId="7" xfId="0" applyNumberFormat="1" applyBorder="1" applyAlignment="1">
      <alignment vertical="center" wrapText="1"/>
    </xf>
    <xf numFmtId="165" fontId="0" fillId="0" borderId="8" xfId="0" applyNumberForma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44" fontId="0" fillId="0" borderId="0" xfId="1" applyFont="1" applyBorder="1" applyAlignment="1">
      <alignment vertical="center" wrapText="1"/>
    </xf>
    <xf numFmtId="44" fontId="0" fillId="0" borderId="7" xfId="1" applyFont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8" xfId="0" applyBorder="1"/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0" fillId="2" borderId="5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AC27-EE89-4FA2-9D39-F74D8DB2FCEB}">
  <dimension ref="A1:AH61"/>
  <sheetViews>
    <sheetView tabSelected="1" topLeftCell="O1" workbookViewId="0">
      <selection activeCell="S1" sqref="S1:Z34"/>
    </sheetView>
  </sheetViews>
  <sheetFormatPr defaultRowHeight="15" x14ac:dyDescent="0.25"/>
  <cols>
    <col min="1" max="1" width="14.7109375" customWidth="1"/>
    <col min="2" max="2" width="11.42578125" customWidth="1"/>
    <col min="3" max="3" width="12.7109375" customWidth="1"/>
    <col min="5" max="5" width="17.7109375" customWidth="1"/>
    <col min="6" max="6" width="14.140625" customWidth="1"/>
    <col min="7" max="7" width="12.7109375" customWidth="1"/>
    <col min="8" max="8" width="13.7109375" customWidth="1"/>
    <col min="9" max="9" width="15.28515625" customWidth="1"/>
    <col min="11" max="11" width="12.140625" customWidth="1"/>
    <col min="12" max="12" width="11.5703125" bestFit="1" customWidth="1"/>
    <col min="13" max="13" width="12" customWidth="1"/>
    <col min="14" max="14" width="10.5703125" customWidth="1"/>
    <col min="15" max="15" width="10.7109375" customWidth="1"/>
    <col min="16" max="17" width="18.7109375" customWidth="1"/>
    <col min="19" max="19" width="16.7109375" customWidth="1"/>
    <col min="21" max="21" width="16.85546875" customWidth="1"/>
    <col min="22" max="22" width="13.42578125" customWidth="1"/>
    <col min="24" max="24" width="11" bestFit="1" customWidth="1"/>
    <col min="26" max="26" width="11.85546875" customWidth="1"/>
    <col min="28" max="28" width="18.85546875" customWidth="1"/>
    <col min="29" max="29" width="17.85546875" customWidth="1"/>
    <col min="32" max="32" width="19.140625" customWidth="1"/>
    <col min="33" max="33" width="19.7109375" customWidth="1"/>
  </cols>
  <sheetData>
    <row r="1" spans="1:34" ht="45" x14ac:dyDescent="0.25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6" t="s">
        <v>9</v>
      </c>
      <c r="K1" s="4" t="s">
        <v>43</v>
      </c>
      <c r="L1" s="5" t="s">
        <v>0</v>
      </c>
      <c r="M1" s="5" t="s">
        <v>44</v>
      </c>
      <c r="N1" s="5" t="s">
        <v>45</v>
      </c>
      <c r="O1" s="5" t="s">
        <v>46</v>
      </c>
      <c r="P1" s="5" t="s">
        <v>50</v>
      </c>
      <c r="Q1" s="6" t="s">
        <v>51</v>
      </c>
      <c r="S1" s="4" t="s">
        <v>1</v>
      </c>
      <c r="T1" s="5" t="s">
        <v>8</v>
      </c>
      <c r="U1" s="5" t="s">
        <v>52</v>
      </c>
      <c r="V1" s="5" t="s">
        <v>6</v>
      </c>
      <c r="W1" s="5" t="s">
        <v>47</v>
      </c>
      <c r="X1" s="5" t="s">
        <v>49</v>
      </c>
      <c r="Y1" s="5" t="s">
        <v>48</v>
      </c>
      <c r="Z1" s="6" t="s">
        <v>7</v>
      </c>
      <c r="AA1" s="1"/>
      <c r="AB1" s="4" t="s">
        <v>1</v>
      </c>
      <c r="AC1" s="5" t="s">
        <v>2</v>
      </c>
      <c r="AD1" s="23" t="s">
        <v>53</v>
      </c>
      <c r="AF1" s="4" t="s">
        <v>1</v>
      </c>
      <c r="AG1" s="5" t="s">
        <v>2</v>
      </c>
      <c r="AH1" s="23" t="s">
        <v>53</v>
      </c>
    </row>
    <row r="2" spans="1:34" ht="15" customHeight="1" x14ac:dyDescent="0.25">
      <c r="A2" s="15" t="s">
        <v>10</v>
      </c>
      <c r="B2" s="16">
        <v>0.36870000000000003</v>
      </c>
      <c r="C2" s="16">
        <v>1.24</v>
      </c>
      <c r="D2" s="16">
        <v>1.208</v>
      </c>
      <c r="E2" s="16">
        <v>0.89</v>
      </c>
      <c r="F2" s="16">
        <v>0.58889999999999998</v>
      </c>
      <c r="G2" s="16">
        <v>0.47989999999999999</v>
      </c>
      <c r="H2" s="16">
        <v>73</v>
      </c>
      <c r="I2" s="17">
        <v>250</v>
      </c>
      <c r="K2" s="7" t="s">
        <v>2</v>
      </c>
      <c r="L2" s="8">
        <f>AVERAGE(B2:B34)</f>
        <v>0.30217878787878788</v>
      </c>
      <c r="M2" s="8">
        <f>MIN(B2:B34)</f>
        <v>0.24490000000000001</v>
      </c>
      <c r="N2" s="8">
        <f>MAX(B2:B34)</f>
        <v>0.36870000000000003</v>
      </c>
      <c r="O2" s="8">
        <f>_xlfn.STDEV.P(B2:B34)</f>
        <v>3.0484121625168132E-2</v>
      </c>
      <c r="P2" s="9">
        <f>L2 - _xlfn.CONFIDENCE.T(0.05, O2, COUNT(B2:B34))</f>
        <v>0.2913695883617769</v>
      </c>
      <c r="Q2" s="10">
        <f>L2 + _xlfn.CONFIDENCE.T(0.05, O2, COUNT(B2:B34))</f>
        <v>0.31298798739579886</v>
      </c>
      <c r="S2" s="15" t="s">
        <v>10</v>
      </c>
      <c r="T2" s="16">
        <v>73</v>
      </c>
      <c r="U2" s="21">
        <f>T2*600</f>
        <v>43800</v>
      </c>
      <c r="V2" s="16">
        <v>0.58889999999999998</v>
      </c>
      <c r="W2" s="21">
        <f>(V2*20)*10</f>
        <v>117.77999999999999</v>
      </c>
      <c r="X2" s="21">
        <f>U2+W2</f>
        <v>43917.78</v>
      </c>
      <c r="Y2" s="16">
        <v>1.208</v>
      </c>
      <c r="Z2" s="17">
        <v>0.47989999999999999</v>
      </c>
      <c r="AA2" s="2"/>
      <c r="AB2" s="15" t="s">
        <v>10</v>
      </c>
      <c r="AC2" s="16">
        <v>0.36870000000000003</v>
      </c>
      <c r="AD2" s="24">
        <f>_xlfn.T.TEST(AC2:AC4,AC5:AC7,2,3)</f>
        <v>0.41820058235783913</v>
      </c>
      <c r="AF2" s="15" t="s">
        <v>22</v>
      </c>
      <c r="AG2" s="16">
        <v>0.32450000000000001</v>
      </c>
      <c r="AH2" s="24">
        <f>_xlfn.T.TEST(AG2:AG4,AG5:AG7,2,3)</f>
        <v>0.65806885006992089</v>
      </c>
    </row>
    <row r="3" spans="1:34" ht="15" customHeight="1" x14ac:dyDescent="0.25">
      <c r="A3" s="15" t="s">
        <v>11</v>
      </c>
      <c r="B3" s="16">
        <v>0.35460000000000003</v>
      </c>
      <c r="C3" s="16">
        <v>1.22</v>
      </c>
      <c r="D3" s="16">
        <v>1.19</v>
      </c>
      <c r="E3" s="16">
        <v>0.87</v>
      </c>
      <c r="F3" s="16">
        <v>0.58230000000000004</v>
      </c>
      <c r="G3" s="16">
        <v>0.47520000000000001</v>
      </c>
      <c r="H3" s="16">
        <v>70</v>
      </c>
      <c r="I3" s="17">
        <v>245</v>
      </c>
      <c r="K3" s="7" t="s">
        <v>3</v>
      </c>
      <c r="L3" s="8">
        <f>AVERAGE(C2:C34)</f>
        <v>1.142727272727273</v>
      </c>
      <c r="M3" s="8">
        <f>MIN(C2:C34)</f>
        <v>1.04</v>
      </c>
      <c r="N3" s="8">
        <f>MAX(C2:C34)</f>
        <v>1.24</v>
      </c>
      <c r="O3" s="8">
        <f>_xlfn.STDEV.P(C2:C34)</f>
        <v>5.0348646713643773E-2</v>
      </c>
      <c r="P3" s="9">
        <f>L3 - _xlfn.CONFIDENCE.T(0.05, O3, COUNT(C2:C34))</f>
        <v>1.1248744188897541</v>
      </c>
      <c r="Q3" s="10">
        <f>L3 + _xlfn.CONFIDENCE.T(0.05, O3, COUNT(C2:C34))</f>
        <v>1.1605801265647919</v>
      </c>
      <c r="S3" s="15" t="s">
        <v>11</v>
      </c>
      <c r="T3" s="16">
        <v>70</v>
      </c>
      <c r="U3" s="21">
        <f t="shared" ref="U3:U34" si="0">T3*600</f>
        <v>42000</v>
      </c>
      <c r="V3" s="16">
        <v>0.58230000000000004</v>
      </c>
      <c r="W3" s="21">
        <f>(V3*22)*10</f>
        <v>128.10599999999999</v>
      </c>
      <c r="X3" s="21">
        <f t="shared" ref="X3:X34" si="1">U3+W3</f>
        <v>42128.106</v>
      </c>
      <c r="Y3" s="16">
        <v>1.19</v>
      </c>
      <c r="Z3" s="17">
        <v>0.47520000000000001</v>
      </c>
      <c r="AA3" s="2"/>
      <c r="AB3" s="15" t="s">
        <v>11</v>
      </c>
      <c r="AC3" s="16">
        <v>0.35460000000000003</v>
      </c>
      <c r="AD3" s="24"/>
      <c r="AF3" s="15" t="s">
        <v>23</v>
      </c>
      <c r="AG3" s="16">
        <v>0.30840000000000001</v>
      </c>
      <c r="AH3" s="24"/>
    </row>
    <row r="4" spans="1:34" ht="15" customHeight="1" x14ac:dyDescent="0.25">
      <c r="A4" s="15" t="s">
        <v>12</v>
      </c>
      <c r="B4" s="16">
        <v>0.3301</v>
      </c>
      <c r="C4" s="16">
        <v>1.18</v>
      </c>
      <c r="D4" s="16">
        <v>1.1499999999999999</v>
      </c>
      <c r="E4" s="16">
        <v>0.85</v>
      </c>
      <c r="F4" s="16">
        <v>0.57640000000000002</v>
      </c>
      <c r="G4" s="16">
        <v>0.47010000000000002</v>
      </c>
      <c r="H4" s="16">
        <v>65</v>
      </c>
      <c r="I4" s="17">
        <v>240</v>
      </c>
      <c r="K4" s="7" t="s">
        <v>4</v>
      </c>
      <c r="L4" s="8">
        <f>AVERAGE(D2:D34)</f>
        <v>1.1110000000000002</v>
      </c>
      <c r="M4" s="8">
        <f>MIN(D2:D34)</f>
        <v>1</v>
      </c>
      <c r="N4" s="8">
        <f>MAX(D2:D34)</f>
        <v>1.208</v>
      </c>
      <c r="O4" s="8">
        <f>_xlfn.STDEV.P(D2:D34)</f>
        <v>5.3653207421986079E-2</v>
      </c>
      <c r="P4" s="9">
        <f>L4 - _xlfn.CONFIDENCE.T(0.05, O4, COUNT(D2:D34))</f>
        <v>1.0919753998857884</v>
      </c>
      <c r="Q4" s="10">
        <f>L4 + _xlfn.CONFIDENCE.T(0.05, O4, COUNT(D2:D34))</f>
        <v>1.130024600114212</v>
      </c>
      <c r="S4" s="15" t="s">
        <v>12</v>
      </c>
      <c r="T4" s="16">
        <v>65</v>
      </c>
      <c r="U4" s="21">
        <f t="shared" si="0"/>
        <v>39000</v>
      </c>
      <c r="V4" s="16">
        <v>0.57640000000000002</v>
      </c>
      <c r="W4" s="21">
        <f>(V4*24)*10</f>
        <v>138.33600000000001</v>
      </c>
      <c r="X4" s="21">
        <f t="shared" si="1"/>
        <v>39138.336000000003</v>
      </c>
      <c r="Y4" s="16">
        <v>1.1499999999999999</v>
      </c>
      <c r="Z4" s="17">
        <v>0.47010000000000002</v>
      </c>
      <c r="AA4" s="2"/>
      <c r="AB4" s="15" t="s">
        <v>12</v>
      </c>
      <c r="AC4" s="16">
        <v>0.3301</v>
      </c>
      <c r="AD4" s="24"/>
      <c r="AF4" s="15" t="s">
        <v>24</v>
      </c>
      <c r="AG4" s="16">
        <v>0.2873</v>
      </c>
      <c r="AH4" s="24"/>
    </row>
    <row r="5" spans="1:34" ht="15" customHeight="1" x14ac:dyDescent="0.25">
      <c r="A5" s="15" t="s">
        <v>13</v>
      </c>
      <c r="B5" s="16">
        <v>0.35410000000000003</v>
      </c>
      <c r="C5" s="16">
        <v>1.23</v>
      </c>
      <c r="D5" s="16">
        <v>1.2050000000000001</v>
      </c>
      <c r="E5" s="16">
        <v>0.88</v>
      </c>
      <c r="F5" s="16">
        <v>0.58650000000000002</v>
      </c>
      <c r="G5" s="16">
        <v>0.48099999999999998</v>
      </c>
      <c r="H5" s="16">
        <v>69</v>
      </c>
      <c r="I5" s="17">
        <v>255</v>
      </c>
      <c r="K5" s="7" t="s">
        <v>5</v>
      </c>
      <c r="L5" s="8">
        <f>AVERAGE(E2:E34)</f>
        <v>0.82</v>
      </c>
      <c r="M5" s="8">
        <f>MIN(E2:E34)</f>
        <v>0.75</v>
      </c>
      <c r="N5" s="8">
        <f>MAX(E2:E34)</f>
        <v>0.89</v>
      </c>
      <c r="O5" s="8">
        <f>_xlfn.STDEV.P(E2:E34)</f>
        <v>3.5590260840104367E-2</v>
      </c>
      <c r="P5" s="9">
        <f>L5 - _xlfn.CONFIDENCE.T(0.05, O5, COUNT(E2:E34))</f>
        <v>0.80738024224501403</v>
      </c>
      <c r="Q5" s="10">
        <f>L5 + _xlfn.CONFIDENCE.T(0.05, O5, COUNT(E2:E34))</f>
        <v>0.83261975775498587</v>
      </c>
      <c r="S5" s="15" t="s">
        <v>13</v>
      </c>
      <c r="T5" s="16">
        <v>69</v>
      </c>
      <c r="U5" s="21">
        <f t="shared" si="0"/>
        <v>41400</v>
      </c>
      <c r="V5" s="16">
        <v>0.58650000000000002</v>
      </c>
      <c r="W5" s="21">
        <f t="shared" ref="W5" si="2">(V5*20)*10</f>
        <v>117.30000000000001</v>
      </c>
      <c r="X5" s="21">
        <f t="shared" si="1"/>
        <v>41517.300000000003</v>
      </c>
      <c r="Y5" s="16">
        <v>1.2050000000000001</v>
      </c>
      <c r="Z5" s="17">
        <v>0.48099999999999998</v>
      </c>
      <c r="AA5" s="2"/>
      <c r="AB5" s="15" t="s">
        <v>13</v>
      </c>
      <c r="AC5" s="16">
        <v>0.35410000000000003</v>
      </c>
      <c r="AD5" s="24"/>
      <c r="AF5" s="15" t="s">
        <v>25</v>
      </c>
      <c r="AG5" s="16">
        <v>0.317</v>
      </c>
      <c r="AH5" s="24"/>
    </row>
    <row r="6" spans="1:34" ht="15" customHeight="1" x14ac:dyDescent="0.25">
      <c r="A6" s="15" t="s">
        <v>14</v>
      </c>
      <c r="B6" s="16">
        <v>0.3397</v>
      </c>
      <c r="C6" s="16">
        <v>1.21</v>
      </c>
      <c r="D6" s="16">
        <v>1.18</v>
      </c>
      <c r="E6" s="16">
        <v>0.86</v>
      </c>
      <c r="F6" s="16">
        <v>0.57920000000000005</v>
      </c>
      <c r="G6" s="16">
        <v>0.47649999999999998</v>
      </c>
      <c r="H6" s="16">
        <v>67</v>
      </c>
      <c r="I6" s="17">
        <v>250</v>
      </c>
      <c r="K6" s="7" t="s">
        <v>6</v>
      </c>
      <c r="L6" s="8">
        <f>AVERAGE(F2:F34)</f>
        <v>0.57340909090909098</v>
      </c>
      <c r="M6" s="8">
        <f>MIN(F2:F34)</f>
        <v>0.55879999999999996</v>
      </c>
      <c r="N6" s="8">
        <f>MAX(F2:F34)</f>
        <v>0.58889999999999998</v>
      </c>
      <c r="O6" s="8">
        <f>_xlfn.STDEV.P(F2:F34)</f>
        <v>7.6130813908996727E-3</v>
      </c>
      <c r="P6" s="9">
        <f>L6 - _xlfn.CONFIDENCE.T(0.05, O6, COUNT(F2:F34))</f>
        <v>0.57070960962813655</v>
      </c>
      <c r="Q6" s="10">
        <f>L6 + _xlfn.CONFIDENCE.T(0.05, O6, COUNT(F2:F34))</f>
        <v>0.57610857219004541</v>
      </c>
      <c r="S6" s="15" t="s">
        <v>14</v>
      </c>
      <c r="T6" s="16">
        <v>67</v>
      </c>
      <c r="U6" s="21">
        <f t="shared" si="0"/>
        <v>40200</v>
      </c>
      <c r="V6" s="16">
        <v>0.57920000000000005</v>
      </c>
      <c r="W6" s="21">
        <f t="shared" ref="W6" si="3">(V6*22)*10</f>
        <v>127.42400000000002</v>
      </c>
      <c r="X6" s="21">
        <f t="shared" si="1"/>
        <v>40327.423999999999</v>
      </c>
      <c r="Y6" s="16">
        <v>1.18</v>
      </c>
      <c r="Z6" s="17">
        <v>0.47649999999999998</v>
      </c>
      <c r="AA6" s="2"/>
      <c r="AB6" s="15" t="s">
        <v>14</v>
      </c>
      <c r="AC6" s="16">
        <v>0.3397</v>
      </c>
      <c r="AD6" s="24"/>
      <c r="AF6" s="15" t="s">
        <v>26</v>
      </c>
      <c r="AG6" s="16">
        <v>0.30130000000000001</v>
      </c>
      <c r="AH6" s="24"/>
    </row>
    <row r="7" spans="1:34" ht="15" customHeight="1" thickBot="1" x14ac:dyDescent="0.3">
      <c r="A7" s="15" t="s">
        <v>15</v>
      </c>
      <c r="B7" s="16">
        <v>0.31780000000000003</v>
      </c>
      <c r="C7" s="16">
        <v>1.17</v>
      </c>
      <c r="D7" s="16">
        <v>1.1399999999999999</v>
      </c>
      <c r="E7" s="16">
        <v>0.84</v>
      </c>
      <c r="F7" s="16">
        <v>0.57320000000000004</v>
      </c>
      <c r="G7" s="16">
        <v>0.4718</v>
      </c>
      <c r="H7" s="16">
        <v>63</v>
      </c>
      <c r="I7" s="17">
        <v>245</v>
      </c>
      <c r="K7" s="11" t="s">
        <v>7</v>
      </c>
      <c r="L7" s="12">
        <f>AVERAGE(G2:G34)</f>
        <v>0.48003030303030297</v>
      </c>
      <c r="M7" s="12">
        <f>MIN(G2:G34)</f>
        <v>0.47010000000000002</v>
      </c>
      <c r="N7" s="12">
        <f>MAX(G2:G34)</f>
        <v>0.49080000000000001</v>
      </c>
      <c r="O7" s="12">
        <f>_xlfn.STDEV.P(G2:G34)</f>
        <v>5.245689996991462E-3</v>
      </c>
      <c r="P7" s="13">
        <f>L7 - _xlfn.CONFIDENCE.T(0.05, O7, COUNT(G2:G34))</f>
        <v>0.47817026223663761</v>
      </c>
      <c r="Q7" s="14">
        <f>L7 + _xlfn.CONFIDENCE.T(0.05, O7, COUNT(G2:G34))</f>
        <v>0.48189034382396834</v>
      </c>
      <c r="S7" s="15" t="s">
        <v>15</v>
      </c>
      <c r="T7" s="16">
        <v>63</v>
      </c>
      <c r="U7" s="21">
        <f t="shared" si="0"/>
        <v>37800</v>
      </c>
      <c r="V7" s="16">
        <v>0.57320000000000004</v>
      </c>
      <c r="W7" s="21">
        <f t="shared" ref="W7" si="4">(V7*24)*10</f>
        <v>137.56800000000001</v>
      </c>
      <c r="X7" s="21">
        <f t="shared" si="1"/>
        <v>37937.567999999999</v>
      </c>
      <c r="Y7" s="16">
        <v>1.1399999999999999</v>
      </c>
      <c r="Z7" s="17">
        <v>0.4718</v>
      </c>
      <c r="AA7" s="2"/>
      <c r="AB7" s="18" t="s">
        <v>15</v>
      </c>
      <c r="AC7" s="19">
        <v>0.31780000000000003</v>
      </c>
      <c r="AD7" s="25"/>
      <c r="AF7" s="18" t="s">
        <v>27</v>
      </c>
      <c r="AG7" s="19">
        <v>0.2802</v>
      </c>
      <c r="AH7" s="25"/>
    </row>
    <row r="8" spans="1:34" ht="15.75" thickBot="1" x14ac:dyDescent="0.3">
      <c r="A8" s="15" t="s">
        <v>16</v>
      </c>
      <c r="B8" s="16">
        <v>0.34200000000000003</v>
      </c>
      <c r="C8" s="16">
        <v>1.21</v>
      </c>
      <c r="D8" s="16">
        <v>1.18</v>
      </c>
      <c r="E8" s="16">
        <v>0.87</v>
      </c>
      <c r="F8" s="16">
        <v>0.58499999999999996</v>
      </c>
      <c r="G8" s="16">
        <v>0.48220000000000002</v>
      </c>
      <c r="H8" s="16">
        <v>68</v>
      </c>
      <c r="I8" s="17">
        <v>260</v>
      </c>
      <c r="S8" s="15" t="s">
        <v>16</v>
      </c>
      <c r="T8" s="16">
        <v>68</v>
      </c>
      <c r="U8" s="21">
        <f t="shared" si="0"/>
        <v>40800</v>
      </c>
      <c r="V8" s="16">
        <v>0.58499999999999996</v>
      </c>
      <c r="W8" s="21">
        <f t="shared" ref="W8" si="5">(V8*20)*10</f>
        <v>117</v>
      </c>
      <c r="X8" s="21">
        <f t="shared" si="1"/>
        <v>40917</v>
      </c>
      <c r="Y8" s="16">
        <v>1.18</v>
      </c>
      <c r="Z8" s="17">
        <v>0.48220000000000002</v>
      </c>
      <c r="AB8" s="26"/>
      <c r="AC8" s="2"/>
      <c r="AF8" s="27"/>
      <c r="AG8" s="27"/>
      <c r="AH8" s="27"/>
    </row>
    <row r="9" spans="1:34" ht="15" customHeight="1" x14ac:dyDescent="0.25">
      <c r="A9" s="15" t="s">
        <v>17</v>
      </c>
      <c r="B9" s="16">
        <v>0.3261</v>
      </c>
      <c r="C9" s="16">
        <v>1.19</v>
      </c>
      <c r="D9" s="16">
        <v>1.1599999999999999</v>
      </c>
      <c r="E9" s="16">
        <v>0.85</v>
      </c>
      <c r="F9" s="16">
        <v>0.57840000000000003</v>
      </c>
      <c r="G9" s="16">
        <v>0.47789999999999999</v>
      </c>
      <c r="H9" s="16">
        <v>64</v>
      </c>
      <c r="I9" s="17">
        <v>255</v>
      </c>
      <c r="S9" s="15" t="s">
        <v>17</v>
      </c>
      <c r="T9" s="16">
        <v>64</v>
      </c>
      <c r="U9" s="21">
        <f t="shared" si="0"/>
        <v>38400</v>
      </c>
      <c r="V9" s="16">
        <v>0.57840000000000003</v>
      </c>
      <c r="W9" s="21">
        <f t="shared" ref="W9" si="6">(V9*22)*10</f>
        <v>127.248</v>
      </c>
      <c r="X9" s="21">
        <f t="shared" si="1"/>
        <v>38527.248</v>
      </c>
      <c r="Y9" s="16">
        <v>1.1599999999999999</v>
      </c>
      <c r="Z9" s="17">
        <v>0.47789999999999999</v>
      </c>
      <c r="AB9" s="4" t="s">
        <v>1</v>
      </c>
      <c r="AC9" s="5" t="s">
        <v>2</v>
      </c>
      <c r="AD9" s="23" t="s">
        <v>53</v>
      </c>
      <c r="AF9" s="4" t="s">
        <v>1</v>
      </c>
      <c r="AG9" s="5" t="s">
        <v>2</v>
      </c>
      <c r="AH9" s="23" t="s">
        <v>53</v>
      </c>
    </row>
    <row r="10" spans="1:34" x14ac:dyDescent="0.25">
      <c r="A10" s="15" t="s">
        <v>18</v>
      </c>
      <c r="B10" s="16">
        <v>0.30349999999999999</v>
      </c>
      <c r="C10" s="16">
        <v>1.1499999999999999</v>
      </c>
      <c r="D10" s="16">
        <v>1.1200000000000001</v>
      </c>
      <c r="E10" s="16">
        <v>0.83</v>
      </c>
      <c r="F10" s="16">
        <v>0.57040000000000002</v>
      </c>
      <c r="G10" s="16">
        <v>0.47260000000000002</v>
      </c>
      <c r="H10" s="16">
        <v>60</v>
      </c>
      <c r="I10" s="17">
        <v>250</v>
      </c>
      <c r="S10" s="15" t="s">
        <v>18</v>
      </c>
      <c r="T10" s="16">
        <v>60</v>
      </c>
      <c r="U10" s="21">
        <f t="shared" si="0"/>
        <v>36000</v>
      </c>
      <c r="V10" s="16">
        <v>0.57040000000000002</v>
      </c>
      <c r="W10" s="21">
        <f t="shared" ref="W10" si="7">(V10*24)*10</f>
        <v>136.89600000000002</v>
      </c>
      <c r="X10" s="21">
        <f t="shared" si="1"/>
        <v>36136.896000000001</v>
      </c>
      <c r="Y10" s="16">
        <v>1.1200000000000001</v>
      </c>
      <c r="Z10" s="17">
        <v>0.47260000000000002</v>
      </c>
      <c r="AB10" s="15" t="s">
        <v>10</v>
      </c>
      <c r="AC10" s="16">
        <v>0.36870000000000003</v>
      </c>
      <c r="AD10" s="24">
        <f>_xlfn.T.TEST(AC10:AC12,AC13:AC15,2,3)</f>
        <v>0.16095952264994573</v>
      </c>
      <c r="AF10" s="15" t="s">
        <v>22</v>
      </c>
      <c r="AG10" s="16">
        <v>0.32450000000000001</v>
      </c>
      <c r="AH10" s="24">
        <f>_xlfn.T.TEST(AG10:AG12,AG13:AG15,2,3)</f>
        <v>0.41737904922352509</v>
      </c>
    </row>
    <row r="11" spans="1:34" x14ac:dyDescent="0.25">
      <c r="A11" s="15" t="s">
        <v>19</v>
      </c>
      <c r="B11" s="16">
        <v>0.33210000000000001</v>
      </c>
      <c r="C11" s="16">
        <v>1.19</v>
      </c>
      <c r="D11" s="16">
        <v>1.17</v>
      </c>
      <c r="E11" s="16">
        <v>0.86</v>
      </c>
      <c r="F11" s="16">
        <v>0.58320000000000005</v>
      </c>
      <c r="G11" s="16">
        <v>0.4834</v>
      </c>
      <c r="H11" s="16">
        <v>66</v>
      </c>
      <c r="I11" s="17">
        <v>265</v>
      </c>
      <c r="S11" s="15" t="s">
        <v>19</v>
      </c>
      <c r="T11" s="16">
        <v>66</v>
      </c>
      <c r="U11" s="21">
        <f t="shared" si="0"/>
        <v>39600</v>
      </c>
      <c r="V11" s="16">
        <v>0.58320000000000005</v>
      </c>
      <c r="W11" s="21">
        <f t="shared" ref="W11" si="8">(V11*20)*10</f>
        <v>116.64000000000001</v>
      </c>
      <c r="X11" s="21">
        <f t="shared" si="1"/>
        <v>39716.639999999999</v>
      </c>
      <c r="Y11" s="16">
        <v>1.17</v>
      </c>
      <c r="Z11" s="17">
        <v>0.4834</v>
      </c>
      <c r="AB11" s="15" t="s">
        <v>11</v>
      </c>
      <c r="AC11" s="16">
        <v>0.35460000000000003</v>
      </c>
      <c r="AD11" s="24"/>
      <c r="AF11" s="15" t="s">
        <v>23</v>
      </c>
      <c r="AG11" s="16">
        <v>0.30840000000000001</v>
      </c>
      <c r="AH11" s="24"/>
    </row>
    <row r="12" spans="1:34" x14ac:dyDescent="0.25">
      <c r="A12" s="15" t="s">
        <v>20</v>
      </c>
      <c r="B12" s="16">
        <v>0.31640000000000001</v>
      </c>
      <c r="C12" s="16">
        <v>1.17</v>
      </c>
      <c r="D12" s="16">
        <v>1.1399999999999999</v>
      </c>
      <c r="E12" s="16">
        <v>0.84</v>
      </c>
      <c r="F12" s="16">
        <v>0.57650000000000001</v>
      </c>
      <c r="G12" s="16">
        <v>0.47889999999999999</v>
      </c>
      <c r="H12" s="16">
        <v>62</v>
      </c>
      <c r="I12" s="17">
        <v>260</v>
      </c>
      <c r="S12" s="15" t="s">
        <v>20</v>
      </c>
      <c r="T12" s="16">
        <v>62</v>
      </c>
      <c r="U12" s="21">
        <f t="shared" si="0"/>
        <v>37200</v>
      </c>
      <c r="V12" s="16">
        <v>0.57650000000000001</v>
      </c>
      <c r="W12" s="21">
        <f t="shared" ref="W12" si="9">(V12*22)*10</f>
        <v>126.83</v>
      </c>
      <c r="X12" s="21">
        <f t="shared" si="1"/>
        <v>37326.83</v>
      </c>
      <c r="Y12" s="16">
        <v>1.1399999999999999</v>
      </c>
      <c r="Z12" s="17">
        <v>0.47889999999999999</v>
      </c>
      <c r="AB12" s="15" t="s">
        <v>12</v>
      </c>
      <c r="AC12" s="16">
        <v>0.3301</v>
      </c>
      <c r="AD12" s="24"/>
      <c r="AF12" s="15" t="s">
        <v>24</v>
      </c>
      <c r="AG12" s="16">
        <v>0.2873</v>
      </c>
      <c r="AH12" s="24"/>
    </row>
    <row r="13" spans="1:34" x14ac:dyDescent="0.25">
      <c r="A13" s="15" t="s">
        <v>21</v>
      </c>
      <c r="B13" s="16">
        <v>0.29449999999999998</v>
      </c>
      <c r="C13" s="16">
        <v>1.1299999999999999</v>
      </c>
      <c r="D13" s="16">
        <v>1.1000000000000001</v>
      </c>
      <c r="E13" s="16">
        <v>0.82</v>
      </c>
      <c r="F13" s="16">
        <v>0.56899999999999995</v>
      </c>
      <c r="G13" s="16">
        <v>0.47349999999999998</v>
      </c>
      <c r="H13" s="16">
        <v>58</v>
      </c>
      <c r="I13" s="17">
        <v>255</v>
      </c>
      <c r="S13" s="15" t="s">
        <v>21</v>
      </c>
      <c r="T13" s="16">
        <v>58</v>
      </c>
      <c r="U13" s="21">
        <f t="shared" si="0"/>
        <v>34800</v>
      </c>
      <c r="V13" s="16">
        <v>0.56899999999999995</v>
      </c>
      <c r="W13" s="21">
        <f t="shared" ref="W13" si="10">(V13*24)*10</f>
        <v>136.56</v>
      </c>
      <c r="X13" s="21">
        <f t="shared" si="1"/>
        <v>34936.559999999998</v>
      </c>
      <c r="Y13" s="16">
        <v>1.1000000000000001</v>
      </c>
      <c r="Z13" s="17">
        <v>0.47349999999999998</v>
      </c>
      <c r="AB13" s="15" t="s">
        <v>16</v>
      </c>
      <c r="AC13" s="16">
        <v>0.34200000000000003</v>
      </c>
      <c r="AD13" s="24"/>
      <c r="AF13" s="15" t="s">
        <v>28</v>
      </c>
      <c r="AG13" s="16">
        <v>0.31030000000000002</v>
      </c>
      <c r="AH13" s="24"/>
    </row>
    <row r="14" spans="1:34" x14ac:dyDescent="0.25">
      <c r="A14" s="15" t="s">
        <v>22</v>
      </c>
      <c r="B14" s="16">
        <v>0.32450000000000001</v>
      </c>
      <c r="C14" s="16">
        <v>1.18</v>
      </c>
      <c r="D14" s="16">
        <v>1.1599999999999999</v>
      </c>
      <c r="E14" s="16">
        <v>0.85</v>
      </c>
      <c r="F14" s="16">
        <v>0.58179999999999998</v>
      </c>
      <c r="G14" s="16">
        <v>0.48449999999999999</v>
      </c>
      <c r="H14" s="16">
        <v>65</v>
      </c>
      <c r="I14" s="17">
        <v>270</v>
      </c>
      <c r="S14" s="15" t="s">
        <v>22</v>
      </c>
      <c r="T14" s="16">
        <v>65</v>
      </c>
      <c r="U14" s="21">
        <f t="shared" si="0"/>
        <v>39000</v>
      </c>
      <c r="V14" s="16">
        <v>0.58179999999999998</v>
      </c>
      <c r="W14" s="21">
        <f t="shared" ref="W14" si="11">(V14*20)*10</f>
        <v>116.35999999999999</v>
      </c>
      <c r="X14" s="21">
        <f t="shared" si="1"/>
        <v>39116.36</v>
      </c>
      <c r="Y14" s="16">
        <v>1.1599999999999999</v>
      </c>
      <c r="Z14" s="17">
        <v>0.48449999999999999</v>
      </c>
      <c r="AB14" s="15" t="s">
        <v>17</v>
      </c>
      <c r="AC14" s="16">
        <v>0.3261</v>
      </c>
      <c r="AD14" s="24"/>
      <c r="AF14" s="15" t="s">
        <v>29</v>
      </c>
      <c r="AG14" s="16">
        <v>0.29499999999999998</v>
      </c>
      <c r="AH14" s="24"/>
    </row>
    <row r="15" spans="1:34" ht="15.75" thickBot="1" x14ac:dyDescent="0.3">
      <c r="A15" s="15" t="s">
        <v>23</v>
      </c>
      <c r="B15" s="16">
        <v>0.30840000000000001</v>
      </c>
      <c r="C15" s="16">
        <v>1.1599999999999999</v>
      </c>
      <c r="D15" s="16">
        <v>1.1299999999999999</v>
      </c>
      <c r="E15" s="16">
        <v>0.83</v>
      </c>
      <c r="F15" s="16">
        <v>0.57469999999999999</v>
      </c>
      <c r="G15" s="16">
        <v>0.47960000000000003</v>
      </c>
      <c r="H15" s="16">
        <v>61</v>
      </c>
      <c r="I15" s="17">
        <v>265</v>
      </c>
      <c r="S15" s="15" t="s">
        <v>23</v>
      </c>
      <c r="T15" s="16">
        <v>61</v>
      </c>
      <c r="U15" s="21">
        <f t="shared" si="0"/>
        <v>36600</v>
      </c>
      <c r="V15" s="16">
        <v>0.57469999999999999</v>
      </c>
      <c r="W15" s="21">
        <f t="shared" ref="W15" si="12">(V15*22)*10</f>
        <v>126.434</v>
      </c>
      <c r="X15" s="21">
        <f t="shared" si="1"/>
        <v>36726.434000000001</v>
      </c>
      <c r="Y15" s="16">
        <v>1.1299999999999999</v>
      </c>
      <c r="Z15" s="17">
        <v>0.47960000000000003</v>
      </c>
      <c r="AB15" s="18" t="s">
        <v>18</v>
      </c>
      <c r="AC15" s="19">
        <v>0.30349999999999999</v>
      </c>
      <c r="AD15" s="25"/>
      <c r="AF15" s="18" t="s">
        <v>30</v>
      </c>
      <c r="AG15" s="19">
        <v>0.2742</v>
      </c>
      <c r="AH15" s="25"/>
    </row>
    <row r="16" spans="1:34" ht="15.75" thickBot="1" x14ac:dyDescent="0.3">
      <c r="A16" s="15" t="s">
        <v>24</v>
      </c>
      <c r="B16" s="16">
        <v>0.2873</v>
      </c>
      <c r="C16" s="16">
        <v>1.1200000000000001</v>
      </c>
      <c r="D16" s="16">
        <v>1.0900000000000001</v>
      </c>
      <c r="E16" s="16">
        <v>0.81</v>
      </c>
      <c r="F16" s="16">
        <v>0.56830000000000003</v>
      </c>
      <c r="G16" s="16">
        <v>0.47420000000000001</v>
      </c>
      <c r="H16" s="16">
        <v>57</v>
      </c>
      <c r="I16" s="17">
        <v>260</v>
      </c>
      <c r="S16" s="15" t="s">
        <v>24</v>
      </c>
      <c r="T16" s="16">
        <v>57</v>
      </c>
      <c r="U16" s="21">
        <f t="shared" si="0"/>
        <v>34200</v>
      </c>
      <c r="V16" s="16">
        <v>0.56830000000000003</v>
      </c>
      <c r="W16" s="21">
        <f t="shared" ref="W16" si="13">(V16*24)*10</f>
        <v>136.392</v>
      </c>
      <c r="X16" s="21">
        <f t="shared" si="1"/>
        <v>34336.392</v>
      </c>
      <c r="Y16" s="16">
        <v>1.0900000000000001</v>
      </c>
      <c r="Z16" s="17">
        <v>0.47420000000000001</v>
      </c>
      <c r="AB16" s="26"/>
      <c r="AC16" s="2"/>
      <c r="AF16" s="27"/>
      <c r="AG16" s="27"/>
      <c r="AH16" s="27"/>
    </row>
    <row r="17" spans="1:34" x14ac:dyDescent="0.25">
      <c r="A17" s="15" t="s">
        <v>25</v>
      </c>
      <c r="B17" s="16">
        <v>0.317</v>
      </c>
      <c r="C17" s="16">
        <v>1.17</v>
      </c>
      <c r="D17" s="16">
        <v>1.1399999999999999</v>
      </c>
      <c r="E17" s="16">
        <v>0.84</v>
      </c>
      <c r="F17" s="16">
        <v>0.58030000000000004</v>
      </c>
      <c r="G17" s="16">
        <v>0.48559999999999998</v>
      </c>
      <c r="H17" s="16">
        <v>64</v>
      </c>
      <c r="I17" s="17">
        <v>275</v>
      </c>
      <c r="S17" s="15" t="s">
        <v>25</v>
      </c>
      <c r="T17" s="16">
        <v>64</v>
      </c>
      <c r="U17" s="21">
        <f t="shared" si="0"/>
        <v>38400</v>
      </c>
      <c r="V17" s="16">
        <v>0.58030000000000004</v>
      </c>
      <c r="W17" s="21">
        <f t="shared" ref="W17" si="14">(V17*20)*10</f>
        <v>116.06000000000002</v>
      </c>
      <c r="X17" s="21">
        <f t="shared" si="1"/>
        <v>38516.06</v>
      </c>
      <c r="Y17" s="16">
        <v>1.1399999999999999</v>
      </c>
      <c r="Z17" s="17">
        <v>0.48559999999999998</v>
      </c>
      <c r="AB17" s="4" t="s">
        <v>1</v>
      </c>
      <c r="AC17" s="5" t="s">
        <v>2</v>
      </c>
      <c r="AD17" s="23" t="s">
        <v>53</v>
      </c>
      <c r="AF17" s="4" t="s">
        <v>1</v>
      </c>
      <c r="AG17" s="5" t="s">
        <v>2</v>
      </c>
      <c r="AH17" s="23" t="s">
        <v>53</v>
      </c>
    </row>
    <row r="18" spans="1:34" x14ac:dyDescent="0.25">
      <c r="A18" s="15" t="s">
        <v>26</v>
      </c>
      <c r="B18" s="16">
        <v>0.30130000000000001</v>
      </c>
      <c r="C18" s="16">
        <v>1.1499999999999999</v>
      </c>
      <c r="D18" s="16">
        <v>1.1100000000000001</v>
      </c>
      <c r="E18" s="16">
        <v>0.82</v>
      </c>
      <c r="F18" s="16">
        <v>0.57299999999999995</v>
      </c>
      <c r="G18" s="16">
        <v>0.4803</v>
      </c>
      <c r="H18" s="16">
        <v>60</v>
      </c>
      <c r="I18" s="17">
        <v>270</v>
      </c>
      <c r="S18" s="15" t="s">
        <v>26</v>
      </c>
      <c r="T18" s="16">
        <v>60</v>
      </c>
      <c r="U18" s="21">
        <f t="shared" si="0"/>
        <v>36000</v>
      </c>
      <c r="V18" s="16">
        <v>0.57299999999999995</v>
      </c>
      <c r="W18" s="21">
        <f t="shared" ref="W18" si="15">(V18*22)*10</f>
        <v>126.05999999999997</v>
      </c>
      <c r="X18" s="21">
        <f t="shared" si="1"/>
        <v>36126.06</v>
      </c>
      <c r="Y18" s="16">
        <v>1.1100000000000001</v>
      </c>
      <c r="Z18" s="17">
        <v>0.4803</v>
      </c>
      <c r="AB18" s="15" t="s">
        <v>10</v>
      </c>
      <c r="AC18" s="16">
        <v>0.36870000000000003</v>
      </c>
      <c r="AD18" s="24">
        <f>_xlfn.T.TEST(AC18:AC20,AC21:AC23,2,3)</f>
        <v>7.8929038794636627E-2</v>
      </c>
      <c r="AF18" s="15" t="s">
        <v>22</v>
      </c>
      <c r="AG18" s="16">
        <v>0.32450000000000001</v>
      </c>
      <c r="AH18" s="24">
        <f>_xlfn.T.TEST(AG18:AG20,AG21:AG23,2,3)</f>
        <v>0.25059131512242527</v>
      </c>
    </row>
    <row r="19" spans="1:34" x14ac:dyDescent="0.25">
      <c r="A19" s="15" t="s">
        <v>27</v>
      </c>
      <c r="B19" s="16">
        <v>0.2802</v>
      </c>
      <c r="C19" s="16">
        <v>1.1100000000000001</v>
      </c>
      <c r="D19" s="16">
        <v>1.08</v>
      </c>
      <c r="E19" s="16">
        <v>0.8</v>
      </c>
      <c r="F19" s="16">
        <v>0.56640000000000001</v>
      </c>
      <c r="G19" s="16">
        <v>0.47489999999999999</v>
      </c>
      <c r="H19" s="16">
        <v>56</v>
      </c>
      <c r="I19" s="17">
        <v>265</v>
      </c>
      <c r="S19" s="15" t="s">
        <v>27</v>
      </c>
      <c r="T19" s="16">
        <v>56</v>
      </c>
      <c r="U19" s="21">
        <f t="shared" si="0"/>
        <v>33600</v>
      </c>
      <c r="V19" s="16">
        <v>0.56640000000000001</v>
      </c>
      <c r="W19" s="21">
        <f t="shared" ref="W19" si="16">(V19*24)*10</f>
        <v>135.93600000000001</v>
      </c>
      <c r="X19" s="21">
        <f t="shared" si="1"/>
        <v>33735.936000000002</v>
      </c>
      <c r="Y19" s="16">
        <v>1.08</v>
      </c>
      <c r="Z19" s="17">
        <v>0.47489999999999999</v>
      </c>
      <c r="AB19" s="15" t="s">
        <v>11</v>
      </c>
      <c r="AC19" s="16">
        <v>0.35460000000000003</v>
      </c>
      <c r="AD19" s="24"/>
      <c r="AF19" s="15" t="s">
        <v>23</v>
      </c>
      <c r="AG19" s="16">
        <v>0.30840000000000001</v>
      </c>
      <c r="AH19" s="24"/>
    </row>
    <row r="20" spans="1:34" x14ac:dyDescent="0.25">
      <c r="A20" s="15" t="s">
        <v>28</v>
      </c>
      <c r="B20" s="16">
        <v>0.31030000000000002</v>
      </c>
      <c r="C20" s="16">
        <v>1.1599999999999999</v>
      </c>
      <c r="D20" s="16">
        <v>1.1299999999999999</v>
      </c>
      <c r="E20" s="16">
        <v>0.83</v>
      </c>
      <c r="F20" s="16">
        <v>0.5786</v>
      </c>
      <c r="G20" s="16">
        <v>0.48680000000000001</v>
      </c>
      <c r="H20" s="16">
        <v>63</v>
      </c>
      <c r="I20" s="17">
        <v>280</v>
      </c>
      <c r="S20" s="15" t="s">
        <v>28</v>
      </c>
      <c r="T20" s="16">
        <v>63</v>
      </c>
      <c r="U20" s="21">
        <f t="shared" si="0"/>
        <v>37800</v>
      </c>
      <c r="V20" s="16">
        <v>0.5786</v>
      </c>
      <c r="W20" s="21">
        <f t="shared" ref="W20" si="17">(V20*20)*10</f>
        <v>115.72</v>
      </c>
      <c r="X20" s="21">
        <f t="shared" si="1"/>
        <v>37915.72</v>
      </c>
      <c r="Y20" s="16">
        <v>1.1299999999999999</v>
      </c>
      <c r="Z20" s="17">
        <v>0.48680000000000001</v>
      </c>
      <c r="AB20" s="15" t="s">
        <v>12</v>
      </c>
      <c r="AC20" s="16">
        <v>0.3301</v>
      </c>
      <c r="AD20" s="24"/>
      <c r="AF20" s="15" t="s">
        <v>24</v>
      </c>
      <c r="AG20" s="16">
        <v>0.2873</v>
      </c>
      <c r="AH20" s="24"/>
    </row>
    <row r="21" spans="1:34" x14ac:dyDescent="0.25">
      <c r="A21" s="15" t="s">
        <v>29</v>
      </c>
      <c r="B21" s="16">
        <v>0.29499999999999998</v>
      </c>
      <c r="C21" s="16">
        <v>1.1399999999999999</v>
      </c>
      <c r="D21" s="16">
        <v>1.1000000000000001</v>
      </c>
      <c r="E21" s="16">
        <v>0.81</v>
      </c>
      <c r="F21" s="16">
        <v>0.57089999999999996</v>
      </c>
      <c r="G21" s="16">
        <v>0.48089999999999999</v>
      </c>
      <c r="H21" s="16">
        <v>59</v>
      </c>
      <c r="I21" s="17">
        <v>275</v>
      </c>
      <c r="S21" s="15" t="s">
        <v>29</v>
      </c>
      <c r="T21" s="16">
        <v>59</v>
      </c>
      <c r="U21" s="21">
        <f t="shared" si="0"/>
        <v>35400</v>
      </c>
      <c r="V21" s="16">
        <v>0.57089999999999996</v>
      </c>
      <c r="W21" s="21">
        <f t="shared" ref="W21" si="18">(V21*22)*10</f>
        <v>125.59799999999998</v>
      </c>
      <c r="X21" s="21">
        <f t="shared" si="1"/>
        <v>35525.597999999998</v>
      </c>
      <c r="Y21" s="16">
        <v>1.1000000000000001</v>
      </c>
      <c r="Z21" s="17">
        <v>0.48089999999999999</v>
      </c>
      <c r="AB21" s="15" t="s">
        <v>19</v>
      </c>
      <c r="AC21" s="16">
        <v>0.33210000000000001</v>
      </c>
      <c r="AD21" s="24"/>
      <c r="AF21" s="15" t="s">
        <v>31</v>
      </c>
      <c r="AG21" s="16">
        <v>0.30359999999999998</v>
      </c>
      <c r="AH21" s="24"/>
    </row>
    <row r="22" spans="1:34" x14ac:dyDescent="0.25">
      <c r="A22" s="15" t="s">
        <v>30</v>
      </c>
      <c r="B22" s="16">
        <v>0.2742</v>
      </c>
      <c r="C22" s="16">
        <v>1.1000000000000001</v>
      </c>
      <c r="D22" s="16">
        <v>1.06</v>
      </c>
      <c r="E22" s="16">
        <v>0.79</v>
      </c>
      <c r="F22" s="16">
        <v>0.56469999999999998</v>
      </c>
      <c r="G22" s="16">
        <v>0.47560000000000002</v>
      </c>
      <c r="H22" s="16">
        <v>55</v>
      </c>
      <c r="I22" s="17">
        <v>270</v>
      </c>
      <c r="S22" s="15" t="s">
        <v>30</v>
      </c>
      <c r="T22" s="16">
        <v>55</v>
      </c>
      <c r="U22" s="21">
        <f t="shared" si="0"/>
        <v>33000</v>
      </c>
      <c r="V22" s="16">
        <v>0.56469999999999998</v>
      </c>
      <c r="W22" s="21">
        <f t="shared" ref="W22" si="19">(V22*24)*10</f>
        <v>135.52799999999999</v>
      </c>
      <c r="X22" s="21">
        <f t="shared" si="1"/>
        <v>33135.527999999998</v>
      </c>
      <c r="Y22" s="16">
        <v>1.06</v>
      </c>
      <c r="Z22" s="17">
        <v>0.47560000000000002</v>
      </c>
      <c r="AB22" s="15" t="s">
        <v>20</v>
      </c>
      <c r="AC22" s="16">
        <v>0.31640000000000001</v>
      </c>
      <c r="AD22" s="24"/>
      <c r="AF22" s="15" t="s">
        <v>32</v>
      </c>
      <c r="AG22" s="16">
        <v>0.28849999999999998</v>
      </c>
      <c r="AH22" s="24"/>
    </row>
    <row r="23" spans="1:34" ht="15.75" thickBot="1" x14ac:dyDescent="0.3">
      <c r="A23" s="15" t="s">
        <v>31</v>
      </c>
      <c r="B23" s="16">
        <v>0.30359999999999998</v>
      </c>
      <c r="C23" s="16">
        <v>1.1399999999999999</v>
      </c>
      <c r="D23" s="16">
        <v>1.1100000000000001</v>
      </c>
      <c r="E23" s="16">
        <v>0.82</v>
      </c>
      <c r="F23" s="16">
        <v>0.57709999999999995</v>
      </c>
      <c r="G23" s="16">
        <v>0.48780000000000001</v>
      </c>
      <c r="H23" s="16">
        <v>62</v>
      </c>
      <c r="I23" s="17">
        <v>285</v>
      </c>
      <c r="S23" s="15" t="s">
        <v>31</v>
      </c>
      <c r="T23" s="16">
        <v>62</v>
      </c>
      <c r="U23" s="21">
        <f t="shared" si="0"/>
        <v>37200</v>
      </c>
      <c r="V23" s="16">
        <v>0.57709999999999995</v>
      </c>
      <c r="W23" s="21">
        <f t="shared" ref="W23" si="20">(V23*20)*10</f>
        <v>115.41999999999999</v>
      </c>
      <c r="X23" s="21">
        <f t="shared" si="1"/>
        <v>37315.42</v>
      </c>
      <c r="Y23" s="16">
        <v>1.1100000000000001</v>
      </c>
      <c r="Z23" s="17">
        <v>0.48780000000000001</v>
      </c>
      <c r="AB23" s="18" t="s">
        <v>21</v>
      </c>
      <c r="AC23" s="19">
        <v>0.29449999999999998</v>
      </c>
      <c r="AD23" s="25"/>
      <c r="AF23" s="18" t="s">
        <v>33</v>
      </c>
      <c r="AG23" s="19">
        <v>0.2681</v>
      </c>
      <c r="AH23" s="25"/>
    </row>
    <row r="24" spans="1:34" ht="15.75" thickBot="1" x14ac:dyDescent="0.3">
      <c r="A24" s="15" t="s">
        <v>32</v>
      </c>
      <c r="B24" s="16">
        <v>0.28849999999999998</v>
      </c>
      <c r="C24" s="16">
        <v>1.1200000000000001</v>
      </c>
      <c r="D24" s="16">
        <v>1.0900000000000001</v>
      </c>
      <c r="E24" s="16">
        <v>0.8</v>
      </c>
      <c r="F24" s="16">
        <v>0.56999999999999995</v>
      </c>
      <c r="G24" s="16">
        <v>0.48149999999999998</v>
      </c>
      <c r="H24" s="16">
        <v>58</v>
      </c>
      <c r="I24" s="17">
        <v>280</v>
      </c>
      <c r="S24" s="15" t="s">
        <v>32</v>
      </c>
      <c r="T24" s="16">
        <v>58</v>
      </c>
      <c r="U24" s="21">
        <f t="shared" si="0"/>
        <v>34800</v>
      </c>
      <c r="V24" s="16">
        <v>0.56999999999999995</v>
      </c>
      <c r="W24" s="21">
        <f t="shared" ref="W24" si="21">(V24*22)*10</f>
        <v>125.39999999999999</v>
      </c>
      <c r="X24" s="21">
        <f t="shared" si="1"/>
        <v>34925.4</v>
      </c>
      <c r="Y24" s="16">
        <v>1.0900000000000001</v>
      </c>
      <c r="Z24" s="17">
        <v>0.48149999999999998</v>
      </c>
      <c r="AB24" s="26"/>
      <c r="AC24" s="2"/>
      <c r="AF24" s="27"/>
      <c r="AG24" s="27"/>
      <c r="AH24" s="27"/>
    </row>
    <row r="25" spans="1:34" x14ac:dyDescent="0.25">
      <c r="A25" s="15" t="s">
        <v>33</v>
      </c>
      <c r="B25" s="16">
        <v>0.2681</v>
      </c>
      <c r="C25" s="16">
        <v>1.0900000000000001</v>
      </c>
      <c r="D25" s="16">
        <v>1.05</v>
      </c>
      <c r="E25" s="16">
        <v>0.78</v>
      </c>
      <c r="F25" s="16">
        <v>0.56340000000000001</v>
      </c>
      <c r="G25" s="16">
        <v>0.47620000000000001</v>
      </c>
      <c r="H25" s="16">
        <v>54</v>
      </c>
      <c r="I25" s="17">
        <v>275</v>
      </c>
      <c r="S25" s="15" t="s">
        <v>33</v>
      </c>
      <c r="T25" s="16">
        <v>54</v>
      </c>
      <c r="U25" s="21">
        <f t="shared" si="0"/>
        <v>32400</v>
      </c>
      <c r="V25" s="16">
        <v>0.56340000000000001</v>
      </c>
      <c r="W25" s="21">
        <f t="shared" ref="W25" si="22">(V25*24)*10</f>
        <v>135.21600000000001</v>
      </c>
      <c r="X25" s="21">
        <f t="shared" si="1"/>
        <v>32535.216</v>
      </c>
      <c r="Y25" s="16">
        <v>1.05</v>
      </c>
      <c r="Z25" s="17">
        <v>0.47620000000000001</v>
      </c>
      <c r="AB25" s="4" t="s">
        <v>1</v>
      </c>
      <c r="AC25" s="5" t="s">
        <v>2</v>
      </c>
      <c r="AD25" s="23" t="s">
        <v>53</v>
      </c>
      <c r="AF25" s="4" t="s">
        <v>1</v>
      </c>
      <c r="AG25" s="5" t="s">
        <v>2</v>
      </c>
      <c r="AH25" s="23" t="s">
        <v>53</v>
      </c>
    </row>
    <row r="26" spans="1:34" x14ac:dyDescent="0.25">
      <c r="A26" s="15" t="s">
        <v>34</v>
      </c>
      <c r="B26" s="16">
        <v>0.29720000000000002</v>
      </c>
      <c r="C26" s="16">
        <v>1.1299999999999999</v>
      </c>
      <c r="D26" s="16">
        <v>1.1000000000000001</v>
      </c>
      <c r="E26" s="16">
        <v>0.81</v>
      </c>
      <c r="F26" s="16">
        <v>0.57569999999999999</v>
      </c>
      <c r="G26" s="16">
        <v>0.48880000000000001</v>
      </c>
      <c r="H26" s="16">
        <v>61</v>
      </c>
      <c r="I26" s="17">
        <v>290</v>
      </c>
      <c r="S26" s="15" t="s">
        <v>34</v>
      </c>
      <c r="T26" s="16">
        <v>61</v>
      </c>
      <c r="U26" s="21">
        <f t="shared" si="0"/>
        <v>36600</v>
      </c>
      <c r="V26" s="16">
        <v>0.57569999999999999</v>
      </c>
      <c r="W26" s="21">
        <f t="shared" ref="W26" si="23">(V26*20)*10</f>
        <v>115.13999999999999</v>
      </c>
      <c r="X26" s="21">
        <f t="shared" si="1"/>
        <v>36715.14</v>
      </c>
      <c r="Y26" s="16">
        <v>1.1000000000000001</v>
      </c>
      <c r="Z26" s="17">
        <v>0.48880000000000001</v>
      </c>
      <c r="AB26" s="15" t="s">
        <v>10</v>
      </c>
      <c r="AC26" s="16">
        <v>0.36870000000000003</v>
      </c>
      <c r="AD26" s="28">
        <f>_xlfn.T.TEST(AC26:AC28,AC29:AC31,2,3)</f>
        <v>4.664214493116968E-2</v>
      </c>
      <c r="AF26" s="15" t="s">
        <v>22</v>
      </c>
      <c r="AG26" s="16">
        <v>0.32450000000000001</v>
      </c>
      <c r="AH26" s="24">
        <f>_xlfn.T.TEST(AG26:AG28,AG29:AG31,2,3)</f>
        <v>0.1532248277272068</v>
      </c>
    </row>
    <row r="27" spans="1:34" x14ac:dyDescent="0.25">
      <c r="A27" s="15" t="s">
        <v>35</v>
      </c>
      <c r="B27" s="16">
        <v>0.28260000000000002</v>
      </c>
      <c r="C27" s="16">
        <v>1.1100000000000001</v>
      </c>
      <c r="D27" s="16">
        <v>1.08</v>
      </c>
      <c r="E27" s="16">
        <v>0.79</v>
      </c>
      <c r="F27" s="16">
        <v>0.56820000000000004</v>
      </c>
      <c r="G27" s="16">
        <v>0.48199999999999998</v>
      </c>
      <c r="H27" s="16">
        <v>57</v>
      </c>
      <c r="I27" s="17">
        <v>285</v>
      </c>
      <c r="S27" s="15" t="s">
        <v>35</v>
      </c>
      <c r="T27" s="16">
        <v>57</v>
      </c>
      <c r="U27" s="21">
        <f t="shared" si="0"/>
        <v>34200</v>
      </c>
      <c r="V27" s="16">
        <v>0.56820000000000004</v>
      </c>
      <c r="W27" s="21">
        <f t="shared" ref="W27" si="24">(V27*22)*10</f>
        <v>125.004</v>
      </c>
      <c r="X27" s="21">
        <f t="shared" si="1"/>
        <v>34325.004000000001</v>
      </c>
      <c r="Y27" s="16">
        <v>1.08</v>
      </c>
      <c r="Z27" s="17">
        <v>0.48199999999999998</v>
      </c>
      <c r="AB27" s="15" t="s">
        <v>11</v>
      </c>
      <c r="AC27" s="16">
        <v>0.35460000000000003</v>
      </c>
      <c r="AD27" s="24"/>
      <c r="AF27" s="15" t="s">
        <v>23</v>
      </c>
      <c r="AG27" s="16">
        <v>0.30840000000000001</v>
      </c>
      <c r="AH27" s="24"/>
    </row>
    <row r="28" spans="1:34" x14ac:dyDescent="0.25">
      <c r="A28" s="15" t="s">
        <v>36</v>
      </c>
      <c r="B28" s="16">
        <v>0.26229999999999998</v>
      </c>
      <c r="C28" s="16">
        <v>1.08</v>
      </c>
      <c r="D28" s="16">
        <v>1.04</v>
      </c>
      <c r="E28" s="16">
        <v>0.77</v>
      </c>
      <c r="F28" s="16">
        <v>0.56169999999999998</v>
      </c>
      <c r="G28" s="16">
        <v>0.47689999999999999</v>
      </c>
      <c r="H28" s="16">
        <v>53</v>
      </c>
      <c r="I28" s="17">
        <v>280</v>
      </c>
      <c r="S28" s="15" t="s">
        <v>36</v>
      </c>
      <c r="T28" s="16">
        <v>53</v>
      </c>
      <c r="U28" s="21">
        <f t="shared" si="0"/>
        <v>31800</v>
      </c>
      <c r="V28" s="16">
        <v>0.56169999999999998</v>
      </c>
      <c r="W28" s="21">
        <f t="shared" ref="W28" si="25">(V28*24)*10</f>
        <v>134.80799999999999</v>
      </c>
      <c r="X28" s="21">
        <f t="shared" si="1"/>
        <v>31934.808000000001</v>
      </c>
      <c r="Y28" s="16">
        <v>1.04</v>
      </c>
      <c r="Z28" s="17">
        <v>0.47689999999999999</v>
      </c>
      <c r="AB28" s="15" t="s">
        <v>12</v>
      </c>
      <c r="AC28" s="16">
        <v>0.3301</v>
      </c>
      <c r="AD28" s="24"/>
      <c r="AF28" s="15" t="s">
        <v>24</v>
      </c>
      <c r="AG28" s="16">
        <v>0.2873</v>
      </c>
      <c r="AH28" s="24"/>
    </row>
    <row r="29" spans="1:34" x14ac:dyDescent="0.25">
      <c r="A29" s="15" t="s">
        <v>37</v>
      </c>
      <c r="B29" s="16">
        <v>0.28449999999999998</v>
      </c>
      <c r="C29" s="16">
        <v>1.1100000000000001</v>
      </c>
      <c r="D29" s="16">
        <v>1.08</v>
      </c>
      <c r="E29" s="16">
        <v>0.8</v>
      </c>
      <c r="F29" s="16">
        <v>0.57420000000000004</v>
      </c>
      <c r="G29" s="16">
        <v>0.48980000000000001</v>
      </c>
      <c r="H29" s="16">
        <v>60</v>
      </c>
      <c r="I29" s="17">
        <v>295</v>
      </c>
      <c r="S29" s="15" t="s">
        <v>37</v>
      </c>
      <c r="T29" s="16">
        <v>60</v>
      </c>
      <c r="U29" s="21">
        <f t="shared" si="0"/>
        <v>36000</v>
      </c>
      <c r="V29" s="16">
        <v>0.57420000000000004</v>
      </c>
      <c r="W29" s="21">
        <f t="shared" ref="W29" si="26">(V29*20)*10</f>
        <v>114.84000000000002</v>
      </c>
      <c r="X29" s="21">
        <f t="shared" si="1"/>
        <v>36114.839999999997</v>
      </c>
      <c r="Y29" s="16">
        <v>1.08</v>
      </c>
      <c r="Z29" s="17">
        <v>0.48980000000000001</v>
      </c>
      <c r="AB29" s="15" t="s">
        <v>22</v>
      </c>
      <c r="AC29" s="16">
        <v>0.32450000000000001</v>
      </c>
      <c r="AD29" s="24"/>
      <c r="AF29" s="15" t="s">
        <v>34</v>
      </c>
      <c r="AG29" s="16">
        <v>0.29720000000000002</v>
      </c>
      <c r="AH29" s="24"/>
    </row>
    <row r="30" spans="1:34" x14ac:dyDescent="0.25">
      <c r="A30" s="15" t="s">
        <v>38</v>
      </c>
      <c r="B30" s="16">
        <v>0.27</v>
      </c>
      <c r="C30" s="16">
        <v>1.0900000000000001</v>
      </c>
      <c r="D30" s="16">
        <v>1.06</v>
      </c>
      <c r="E30" s="16">
        <v>0.78</v>
      </c>
      <c r="F30" s="16">
        <v>0.56710000000000005</v>
      </c>
      <c r="G30" s="16">
        <v>0.48270000000000002</v>
      </c>
      <c r="H30" s="16">
        <v>56</v>
      </c>
      <c r="I30" s="17">
        <v>290</v>
      </c>
      <c r="S30" s="15" t="s">
        <v>38</v>
      </c>
      <c r="T30" s="16">
        <v>56</v>
      </c>
      <c r="U30" s="21">
        <f t="shared" si="0"/>
        <v>33600</v>
      </c>
      <c r="V30" s="16">
        <v>0.56710000000000005</v>
      </c>
      <c r="W30" s="21">
        <f t="shared" ref="W30" si="27">(V30*22)*10</f>
        <v>124.762</v>
      </c>
      <c r="X30" s="21">
        <f t="shared" si="1"/>
        <v>33724.762000000002</v>
      </c>
      <c r="Y30" s="16">
        <v>1.06</v>
      </c>
      <c r="Z30" s="17">
        <v>0.48270000000000002</v>
      </c>
      <c r="AB30" s="15" t="s">
        <v>23</v>
      </c>
      <c r="AC30" s="16">
        <v>0.30840000000000001</v>
      </c>
      <c r="AD30" s="24"/>
      <c r="AF30" s="15" t="s">
        <v>35</v>
      </c>
      <c r="AG30" s="16">
        <v>0.28260000000000002</v>
      </c>
      <c r="AH30" s="24"/>
    </row>
    <row r="31" spans="1:34" ht="15.75" thickBot="1" x14ac:dyDescent="0.3">
      <c r="A31" s="15" t="s">
        <v>39</v>
      </c>
      <c r="B31" s="16">
        <v>0.25080000000000002</v>
      </c>
      <c r="C31" s="16">
        <v>1.06</v>
      </c>
      <c r="D31" s="16">
        <v>1.02</v>
      </c>
      <c r="E31" s="16">
        <v>0.76</v>
      </c>
      <c r="F31" s="16">
        <v>0.56040000000000001</v>
      </c>
      <c r="G31" s="16">
        <v>0.47749999999999998</v>
      </c>
      <c r="H31" s="16">
        <v>52</v>
      </c>
      <c r="I31" s="17">
        <v>285</v>
      </c>
      <c r="S31" s="15" t="s">
        <v>39</v>
      </c>
      <c r="T31" s="16">
        <v>52</v>
      </c>
      <c r="U31" s="21">
        <f t="shared" si="0"/>
        <v>31200</v>
      </c>
      <c r="V31" s="16">
        <v>0.56040000000000001</v>
      </c>
      <c r="W31" s="21">
        <f t="shared" ref="W31" si="28">(V31*24)*10</f>
        <v>134.49600000000001</v>
      </c>
      <c r="X31" s="21">
        <f t="shared" si="1"/>
        <v>31334.495999999999</v>
      </c>
      <c r="Y31" s="16">
        <v>1.02</v>
      </c>
      <c r="Z31" s="17">
        <v>0.47749999999999998</v>
      </c>
      <c r="AB31" s="18" t="s">
        <v>24</v>
      </c>
      <c r="AC31" s="19">
        <v>0.2873</v>
      </c>
      <c r="AD31" s="25"/>
      <c r="AF31" s="18" t="s">
        <v>36</v>
      </c>
      <c r="AG31" s="19">
        <v>0.26229999999999998</v>
      </c>
      <c r="AH31" s="25"/>
    </row>
    <row r="32" spans="1:34" ht="15.75" thickBot="1" x14ac:dyDescent="0.3">
      <c r="A32" s="15" t="s">
        <v>40</v>
      </c>
      <c r="B32" s="16">
        <v>0.27789999999999998</v>
      </c>
      <c r="C32" s="16">
        <v>1.0900000000000001</v>
      </c>
      <c r="D32" s="16">
        <v>1.06</v>
      </c>
      <c r="E32" s="16">
        <v>0.79</v>
      </c>
      <c r="F32" s="16">
        <v>0.57279999999999998</v>
      </c>
      <c r="G32" s="16">
        <v>0.49080000000000001</v>
      </c>
      <c r="H32" s="16">
        <v>59</v>
      </c>
      <c r="I32" s="17">
        <v>300</v>
      </c>
      <c r="S32" s="15" t="s">
        <v>40</v>
      </c>
      <c r="T32" s="16">
        <v>59</v>
      </c>
      <c r="U32" s="21">
        <f t="shared" si="0"/>
        <v>35400</v>
      </c>
      <c r="V32" s="16">
        <v>0.57279999999999998</v>
      </c>
      <c r="W32" s="21">
        <f t="shared" ref="W32" si="29">(V32*20)*10</f>
        <v>114.56</v>
      </c>
      <c r="X32" s="21">
        <f t="shared" si="1"/>
        <v>35514.559999999998</v>
      </c>
      <c r="Y32" s="16">
        <v>1.06</v>
      </c>
      <c r="Z32" s="17">
        <v>0.49080000000000001</v>
      </c>
      <c r="AB32" s="26"/>
      <c r="AC32" s="2"/>
    </row>
    <row r="33" spans="1:34" x14ac:dyDescent="0.25">
      <c r="A33" s="15" t="s">
        <v>41</v>
      </c>
      <c r="B33" s="16">
        <v>0.26369999999999999</v>
      </c>
      <c r="C33" s="16">
        <v>1.07</v>
      </c>
      <c r="D33" s="16">
        <v>1.03</v>
      </c>
      <c r="E33" s="16">
        <v>0.77</v>
      </c>
      <c r="F33" s="16">
        <v>0.56540000000000001</v>
      </c>
      <c r="G33" s="16">
        <v>0.4834</v>
      </c>
      <c r="H33" s="16">
        <v>55</v>
      </c>
      <c r="I33" s="17">
        <v>295</v>
      </c>
      <c r="S33" s="15" t="s">
        <v>41</v>
      </c>
      <c r="T33" s="16">
        <v>55</v>
      </c>
      <c r="U33" s="21">
        <f t="shared" si="0"/>
        <v>33000</v>
      </c>
      <c r="V33" s="16">
        <v>0.56540000000000001</v>
      </c>
      <c r="W33" s="21">
        <f t="shared" ref="W33" si="30">(V33*22)*10</f>
        <v>124.38800000000001</v>
      </c>
      <c r="X33" s="21">
        <f t="shared" si="1"/>
        <v>33124.387999999999</v>
      </c>
      <c r="Y33" s="16">
        <v>1.03</v>
      </c>
      <c r="Z33" s="17">
        <v>0.4834</v>
      </c>
      <c r="AB33" s="26"/>
      <c r="AC33" s="2"/>
      <c r="AF33" s="4" t="s">
        <v>1</v>
      </c>
      <c r="AG33" s="5" t="s">
        <v>2</v>
      </c>
      <c r="AH33" s="23" t="s">
        <v>53</v>
      </c>
    </row>
    <row r="34" spans="1:34" ht="15.75" thickBot="1" x14ac:dyDescent="0.3">
      <c r="A34" s="18" t="s">
        <v>42</v>
      </c>
      <c r="B34" s="19">
        <v>0.24490000000000001</v>
      </c>
      <c r="C34" s="19">
        <v>1.04</v>
      </c>
      <c r="D34" s="19">
        <v>1</v>
      </c>
      <c r="E34" s="19">
        <v>0.75</v>
      </c>
      <c r="F34" s="19">
        <v>0.55879999999999996</v>
      </c>
      <c r="G34" s="19">
        <v>0.47820000000000001</v>
      </c>
      <c r="H34" s="19">
        <v>51</v>
      </c>
      <c r="I34" s="20">
        <v>290</v>
      </c>
      <c r="S34" s="18" t="s">
        <v>42</v>
      </c>
      <c r="T34" s="19">
        <v>51</v>
      </c>
      <c r="U34" s="22">
        <f t="shared" si="0"/>
        <v>30600</v>
      </c>
      <c r="V34" s="19">
        <v>0.55879999999999996</v>
      </c>
      <c r="W34" s="22">
        <f t="shared" ref="W34" si="31">(V34*24)*10</f>
        <v>134.11199999999999</v>
      </c>
      <c r="X34" s="22">
        <f t="shared" si="1"/>
        <v>30734.112000000001</v>
      </c>
      <c r="Y34" s="19">
        <v>1</v>
      </c>
      <c r="Z34" s="20">
        <v>0.47820000000000001</v>
      </c>
      <c r="AB34" s="26"/>
      <c r="AC34" s="2"/>
      <c r="AF34" s="15" t="s">
        <v>22</v>
      </c>
      <c r="AG34" s="16">
        <v>0.32450000000000001</v>
      </c>
      <c r="AH34" s="24">
        <f>_xlfn.T.TEST(AG34:AG36,AG37:AG39,2,3)</f>
        <v>5.8454192665801506E-2</v>
      </c>
    </row>
    <row r="35" spans="1:34" x14ac:dyDescent="0.25">
      <c r="A35" s="3"/>
      <c r="B35" s="2"/>
      <c r="C35" s="2"/>
      <c r="D35" s="2"/>
      <c r="E35" s="2"/>
      <c r="F35" s="2"/>
      <c r="G35" s="2"/>
      <c r="H35" s="2"/>
      <c r="I35" s="2"/>
      <c r="AF35" s="15" t="s">
        <v>23</v>
      </c>
      <c r="AG35" s="16">
        <v>0.30840000000000001</v>
      </c>
      <c r="AH35" s="24"/>
    </row>
    <row r="36" spans="1:34" x14ac:dyDescent="0.25">
      <c r="A36" s="3"/>
      <c r="B36" s="2"/>
      <c r="C36" s="2"/>
      <c r="D36" s="2"/>
      <c r="E36" s="2"/>
      <c r="F36" s="2"/>
      <c r="G36" s="2"/>
      <c r="H36" s="2"/>
      <c r="I36" s="2"/>
      <c r="AF36" s="15" t="s">
        <v>24</v>
      </c>
      <c r="AG36" s="16">
        <v>0.2873</v>
      </c>
      <c r="AH36" s="24"/>
    </row>
    <row r="37" spans="1:34" x14ac:dyDescent="0.25">
      <c r="A37" s="3"/>
      <c r="B37" s="2"/>
      <c r="C37" s="2"/>
      <c r="D37" s="2"/>
      <c r="E37" s="2"/>
      <c r="F37" s="2"/>
      <c r="G37" s="2"/>
      <c r="H37" s="2"/>
      <c r="I37" s="2"/>
      <c r="AF37" s="15" t="s">
        <v>37</v>
      </c>
      <c r="AG37" s="16">
        <v>0.28449999999999998</v>
      </c>
      <c r="AH37" s="24"/>
    </row>
    <row r="38" spans="1:34" x14ac:dyDescent="0.25">
      <c r="A38" s="2"/>
      <c r="AF38" s="15" t="s">
        <v>38</v>
      </c>
      <c r="AG38" s="16">
        <v>0.27</v>
      </c>
      <c r="AH38" s="24"/>
    </row>
    <row r="39" spans="1:34" ht="15.75" thickBot="1" x14ac:dyDescent="0.3">
      <c r="A39" s="2"/>
      <c r="AF39" s="18" t="s">
        <v>39</v>
      </c>
      <c r="AG39" s="19">
        <v>0.25080000000000002</v>
      </c>
      <c r="AH39" s="25"/>
    </row>
    <row r="40" spans="1:34" ht="15.75" thickBot="1" x14ac:dyDescent="0.3">
      <c r="A40" s="2"/>
    </row>
    <row r="41" spans="1:34" x14ac:dyDescent="0.25">
      <c r="A41" s="2"/>
      <c r="AF41" s="4" t="s">
        <v>1</v>
      </c>
      <c r="AG41" s="5" t="s">
        <v>2</v>
      </c>
      <c r="AH41" s="23" t="s">
        <v>53</v>
      </c>
    </row>
    <row r="42" spans="1:34" x14ac:dyDescent="0.25">
      <c r="A42" s="2"/>
      <c r="AF42" s="15" t="s">
        <v>22</v>
      </c>
      <c r="AG42" s="16">
        <v>0.32450000000000001</v>
      </c>
      <c r="AH42" s="28">
        <f>_xlfn.T.TEST(AG42:AG44,AG45:AG47,2,3)</f>
        <v>3.7092570885482533E-2</v>
      </c>
    </row>
    <row r="43" spans="1:34" x14ac:dyDescent="0.25">
      <c r="A43" s="2"/>
      <c r="AF43" s="15" t="s">
        <v>23</v>
      </c>
      <c r="AG43" s="16">
        <v>0.30840000000000001</v>
      </c>
      <c r="AH43" s="24"/>
    </row>
    <row r="44" spans="1:34" x14ac:dyDescent="0.25">
      <c r="A44" s="2"/>
      <c r="AF44" s="15" t="s">
        <v>24</v>
      </c>
      <c r="AG44" s="16">
        <v>0.2873</v>
      </c>
      <c r="AH44" s="24"/>
    </row>
    <row r="45" spans="1:34" x14ac:dyDescent="0.25">
      <c r="A45" s="2"/>
      <c r="AF45" s="15" t="s">
        <v>40</v>
      </c>
      <c r="AG45" s="16">
        <v>0.27789999999999998</v>
      </c>
      <c r="AH45" s="24"/>
    </row>
    <row r="46" spans="1:34" x14ac:dyDescent="0.25">
      <c r="A46" s="2"/>
      <c r="AF46" s="15" t="s">
        <v>41</v>
      </c>
      <c r="AG46" s="16">
        <v>0.26369999999999999</v>
      </c>
      <c r="AH46" s="24"/>
    </row>
    <row r="47" spans="1:34" ht="15.75" thickBot="1" x14ac:dyDescent="0.3">
      <c r="A47" s="2"/>
      <c r="AF47" s="18" t="s">
        <v>42</v>
      </c>
      <c r="AG47" s="19">
        <v>0.24490000000000001</v>
      </c>
      <c r="AH47" s="25"/>
    </row>
    <row r="48" spans="1:34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0701CC1EC74147A72BE8B0F5A26E20" ma:contentTypeVersion="17" ma:contentTypeDescription="Create a new document." ma:contentTypeScope="" ma:versionID="ad345f376b7e764ef3997277a0bf1543">
  <xsd:schema xmlns:xsd="http://www.w3.org/2001/XMLSchema" xmlns:xs="http://www.w3.org/2001/XMLSchema" xmlns:p="http://schemas.microsoft.com/office/2006/metadata/properties" xmlns:ns3="dc17db58-7173-4b97-a5e0-4fde46d4419d" xmlns:ns4="c2c0239c-8015-4a2b-9cb8-188eddb0c3b1" targetNamespace="http://schemas.microsoft.com/office/2006/metadata/properties" ma:root="true" ma:fieldsID="fe10de66ae1f0186c5277db06379f12f" ns3:_="" ns4:_="">
    <xsd:import namespace="dc17db58-7173-4b97-a5e0-4fde46d4419d"/>
    <xsd:import namespace="c2c0239c-8015-4a2b-9cb8-188eddb0c3b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7db58-7173-4b97-a5e0-4fde46d441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0239c-8015-4a2b-9cb8-188eddb0c3b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17db58-7173-4b97-a5e0-4fde46d4419d" xsi:nil="true"/>
  </documentManagement>
</p:properties>
</file>

<file path=customXml/itemProps1.xml><?xml version="1.0" encoding="utf-8"?>
<ds:datastoreItem xmlns:ds="http://schemas.openxmlformats.org/officeDocument/2006/customXml" ds:itemID="{3302B063-852D-41C4-96B5-F04BDFD761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17db58-7173-4b97-a5e0-4fde46d4419d"/>
    <ds:schemaRef ds:uri="c2c0239c-8015-4a2b-9cb8-188eddb0c3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D42498-81A1-48DE-B28E-2330D86C7F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30AB07-E044-40C9-BA6D-3A03220C80E2}">
  <ds:schemaRefs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dc17db58-7173-4b97-a5e0-4fde46d4419d"/>
    <ds:schemaRef ds:uri="http://www.w3.org/XML/1998/namespace"/>
    <ds:schemaRef ds:uri="http://schemas.microsoft.com/office/infopath/2007/PartnerControls"/>
    <ds:schemaRef ds:uri="c2c0239c-8015-4a2b-9cb8-188eddb0c3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Au</dc:creator>
  <cp:lastModifiedBy>Mason Au</cp:lastModifiedBy>
  <dcterms:created xsi:type="dcterms:W3CDTF">2024-12-01T00:27:37Z</dcterms:created>
  <dcterms:modified xsi:type="dcterms:W3CDTF">2024-12-01T06:14:03Z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0x0101009A0701CC1EC74147A72BE8B0F5A26E20</vt:lpwstr>
  </property>
</Properties>
</file>